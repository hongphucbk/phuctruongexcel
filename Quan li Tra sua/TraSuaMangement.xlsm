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029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Xamp\htdocs\phuctruongexcel\Quan li Tra sua\"/>
    </mc:Choice>
  </mc:AlternateContent>
  <xr:revisionPtr revIDLastSave="0" documentId="8_{240F41FA-6BB3-4475-A078-2D5FEEFF35E7}" xr6:coauthVersionLast="40" xr6:coauthVersionMax="40" xr10:uidLastSave="{00000000-0000-0000-0000-000000000000}"/>
  <bookViews>
    <workbookView xWindow="0" yWindow="0" windowWidth="20490" windowHeight="7560" activeTab="6" xr2:uid="{00000000-000D-0000-FFFF-FFFF00000000}"/>
  </bookViews>
  <sheets>
    <sheet name="MENU" sheetId="13" r:id="rId1"/>
    <sheet name="DSNV" sheetId="1" r:id="rId2"/>
    <sheet name="BCC" sheetId="2" r:id="rId3"/>
    <sheet name="DMNVL" sheetId="3" r:id="rId4"/>
    <sheet name="BNNVL" sheetId="4" r:id="rId5"/>
    <sheet name="BXNVL" sheetId="5" r:id="rId6"/>
    <sheet name="NXT" sheetId="6" r:id="rId7"/>
    <sheet name="CHIPHI" sheetId="12" r:id="rId8"/>
    <sheet name="GIANY" sheetId="9" r:id="rId9"/>
    <sheet name="INHD" sheetId="10" r:id="rId10"/>
    <sheet name="LISTTH" sheetId="11" r:id="rId11"/>
  </sheets>
  <definedNames>
    <definedName name="BCC">BCC!$B$2:$AT$27</definedName>
    <definedName name="BNNVL" localSheetId="4">BNNVL!$D$9:$K$40</definedName>
    <definedName name="BXNVL" localSheetId="5">BXNVL!$D$9:$K$40</definedName>
    <definedName name="DMNVL" localSheetId="3">DMNVL!$B$5:$E$36</definedName>
    <definedName name="DSNV">DSNV!$B$2:$L$16</definedName>
    <definedName name="HỌ_VÀ_TÊN">BCC!$D$8:$D$21</definedName>
    <definedName name="Lương_cơ_bản">BCC!$AP$8:$AP$21</definedName>
    <definedName name="Lương_thực_tế">BCC!$AR$8:$AR$21</definedName>
    <definedName name="MÃ_NV">BCC!$C$8:$C$21</definedName>
    <definedName name="MH">DMNVL!$C$6:$C$36</definedName>
    <definedName name="Nam">BCC!$D$4</definedName>
    <definedName name="Năm">BNNVL!$D$3</definedName>
    <definedName name="Năm1">BXNVL!$D$3</definedName>
    <definedName name="Năm2">NXT!$K$6</definedName>
    <definedName name="NVL">DMNVL!$B$5:$E$54</definedName>
    <definedName name="_xlnm.Print_Area" localSheetId="9">INHD!$A$1:$F$20</definedName>
    <definedName name="_xlnm.Print_Titles" localSheetId="9">INHD!$9:$9</definedName>
    <definedName name="SI">GIANY!$E$6:$E$7</definedName>
    <definedName name="SP">Table13[TÊN SẢN PHẨM]</definedName>
    <definedName name="TH">DMNVL!$D$6:$D$36</definedName>
    <definedName name="thang">BCC!$D$3</definedName>
    <definedName name="thang1">BNNVL!$D$2</definedName>
    <definedName name="thang2">BXNVL!$D$2</definedName>
    <definedName name="thang3">NXT!$I$6</definedName>
    <definedName name="Thưởng">BCC!$AQ$8:$AQ$21</definedName>
    <definedName name="Tổng_công">BCC!$AO$8:$AO$21</definedName>
    <definedName name="VL">DMNVL!$B$5:$E$60</definedName>
  </definedNames>
  <calcPr calcId="181029"/>
</workbook>
</file>

<file path=xl/calcChain.xml><?xml version="1.0" encoding="utf-8"?>
<calcChain xmlns="http://schemas.openxmlformats.org/spreadsheetml/2006/main">
  <c r="E8" i="11" l="1"/>
  <c r="F8" i="11"/>
  <c r="D8" i="11"/>
  <c r="F10" i="10"/>
  <c r="F7" i="10" l="1"/>
  <c r="E11" i="10"/>
  <c r="F11" i="10" s="1"/>
  <c r="E12" i="10"/>
  <c r="F12" i="10" s="1"/>
  <c r="E13" i="10"/>
  <c r="F13" i="10" s="1"/>
  <c r="E14" i="10"/>
  <c r="F14" i="10" s="1"/>
  <c r="E10" i="10"/>
  <c r="A13" i="10"/>
  <c r="A14" i="10"/>
  <c r="D10" i="6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6" i="3"/>
  <c r="H10" i="4"/>
  <c r="D10" i="4"/>
  <c r="D14" i="4"/>
  <c r="D15" i="4"/>
  <c r="D16" i="4"/>
  <c r="D17" i="4"/>
  <c r="D18" i="4"/>
  <c r="D19" i="4"/>
  <c r="D20" i="4"/>
  <c r="D21" i="4"/>
  <c r="D22" i="4"/>
  <c r="D23" i="4"/>
  <c r="D24" i="4"/>
  <c r="D25" i="4"/>
  <c r="D26" i="4"/>
  <c r="D27" i="4"/>
  <c r="D28" i="4"/>
  <c r="D29" i="4"/>
  <c r="D30" i="4"/>
  <c r="D31" i="4"/>
  <c r="D32" i="4"/>
  <c r="D33" i="4"/>
  <c r="D34" i="4"/>
  <c r="D35" i="4"/>
  <c r="D36" i="4"/>
  <c r="D37" i="4"/>
  <c r="D38" i="4"/>
  <c r="D39" i="4"/>
  <c r="D40" i="4"/>
  <c r="D11" i="4"/>
  <c r="D12" i="4"/>
  <c r="D13" i="4"/>
  <c r="D15" i="6"/>
  <c r="D16" i="6"/>
  <c r="D17" i="6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F10" i="4"/>
  <c r="G10" i="6"/>
  <c r="F28" i="4"/>
  <c r="F11" i="4"/>
  <c r="F12" i="4"/>
  <c r="F13" i="4"/>
  <c r="F14" i="4"/>
  <c r="F15" i="4"/>
  <c r="F16" i="4"/>
  <c r="F17" i="4"/>
  <c r="F18" i="4"/>
  <c r="F19" i="4"/>
  <c r="F20" i="4"/>
  <c r="F21" i="4"/>
  <c r="F22" i="4"/>
  <c r="F23" i="4"/>
  <c r="F24" i="4"/>
  <c r="F25" i="4"/>
  <c r="F26" i="4"/>
  <c r="F27" i="4"/>
  <c r="F29" i="4"/>
  <c r="F30" i="4"/>
  <c r="F31" i="4"/>
  <c r="F32" i="4"/>
  <c r="F33" i="4"/>
  <c r="F34" i="4"/>
  <c r="F35" i="4"/>
  <c r="F36" i="4"/>
  <c r="F37" i="4"/>
  <c r="F38" i="4"/>
  <c r="F39" i="4"/>
  <c r="F40" i="4"/>
  <c r="E11" i="6"/>
  <c r="E10" i="6"/>
  <c r="I16" i="6"/>
  <c r="I17" i="6"/>
  <c r="I18" i="6"/>
  <c r="I19" i="6"/>
  <c r="I20" i="6"/>
  <c r="I21" i="6"/>
  <c r="I22" i="6"/>
  <c r="I23" i="6"/>
  <c r="I24" i="6"/>
  <c r="I25" i="6"/>
  <c r="I26" i="6"/>
  <c r="I27" i="6"/>
  <c r="I28" i="6"/>
  <c r="I29" i="6"/>
  <c r="I30" i="6"/>
  <c r="I31" i="6"/>
  <c r="I32" i="6"/>
  <c r="I33" i="6"/>
  <c r="I34" i="6"/>
  <c r="I35" i="6"/>
  <c r="I36" i="6"/>
  <c r="I37" i="6"/>
  <c r="I38" i="6"/>
  <c r="I39" i="6"/>
  <c r="I40" i="6"/>
  <c r="H11" i="6"/>
  <c r="H12" i="6"/>
  <c r="H13" i="6"/>
  <c r="H14" i="6"/>
  <c r="H15" i="6"/>
  <c r="H16" i="6"/>
  <c r="H17" i="6"/>
  <c r="H18" i="6"/>
  <c r="H19" i="6"/>
  <c r="H20" i="6"/>
  <c r="H21" i="6"/>
  <c r="H22" i="6"/>
  <c r="H23" i="6"/>
  <c r="H24" i="6"/>
  <c r="H25" i="6"/>
  <c r="H26" i="6"/>
  <c r="H27" i="6"/>
  <c r="H28" i="6"/>
  <c r="H29" i="6"/>
  <c r="H30" i="6"/>
  <c r="H31" i="6"/>
  <c r="H32" i="6"/>
  <c r="H33" i="6"/>
  <c r="H34" i="6"/>
  <c r="H35" i="6"/>
  <c r="H36" i="6"/>
  <c r="H37" i="6"/>
  <c r="H38" i="6"/>
  <c r="H39" i="6"/>
  <c r="H40" i="6"/>
  <c r="H10" i="6"/>
  <c r="E12" i="6"/>
  <c r="E13" i="6"/>
  <c r="E14" i="6"/>
  <c r="E15" i="6"/>
  <c r="E16" i="6"/>
  <c r="E17" i="6"/>
  <c r="E18" i="6"/>
  <c r="E19" i="6"/>
  <c r="E20" i="6"/>
  <c r="E21" i="6"/>
  <c r="E22" i="6"/>
  <c r="E23" i="6"/>
  <c r="E24" i="6"/>
  <c r="E25" i="6"/>
  <c r="E26" i="6"/>
  <c r="E27" i="6"/>
  <c r="E28" i="6"/>
  <c r="E29" i="6"/>
  <c r="E30" i="6"/>
  <c r="E31" i="6"/>
  <c r="E32" i="6"/>
  <c r="E33" i="6"/>
  <c r="E34" i="6"/>
  <c r="E35" i="6"/>
  <c r="E36" i="6"/>
  <c r="E37" i="6"/>
  <c r="E38" i="6"/>
  <c r="E39" i="6"/>
  <c r="E40" i="6"/>
  <c r="G11" i="6"/>
  <c r="G12" i="6"/>
  <c r="G13" i="6"/>
  <c r="G14" i="6"/>
  <c r="G15" i="6"/>
  <c r="G16" i="6"/>
  <c r="G17" i="6"/>
  <c r="G18" i="6"/>
  <c r="G19" i="6"/>
  <c r="G20" i="6"/>
  <c r="G21" i="6"/>
  <c r="G22" i="6"/>
  <c r="G23" i="6"/>
  <c r="G24" i="6"/>
  <c r="G25" i="6"/>
  <c r="G26" i="6"/>
  <c r="G27" i="6"/>
  <c r="G28" i="6"/>
  <c r="G29" i="6"/>
  <c r="G30" i="6"/>
  <c r="G31" i="6"/>
  <c r="G32" i="6"/>
  <c r="G33" i="6"/>
  <c r="G34" i="6"/>
  <c r="G35" i="6"/>
  <c r="G36" i="6"/>
  <c r="G37" i="6"/>
  <c r="G38" i="6"/>
  <c r="G39" i="6"/>
  <c r="G40" i="6"/>
  <c r="F15" i="10" l="1"/>
  <c r="F18" i="10" s="1"/>
  <c r="E28" i="5"/>
  <c r="E6" i="5"/>
  <c r="E7" i="4"/>
  <c r="H28" i="5" l="1"/>
  <c r="F28" i="5"/>
  <c r="D11" i="6"/>
  <c r="D12" i="6"/>
  <c r="D13" i="6"/>
  <c r="D14" i="6"/>
  <c r="D18" i="6"/>
  <c r="D19" i="6"/>
  <c r="D20" i="6"/>
  <c r="D21" i="6"/>
  <c r="D22" i="6"/>
  <c r="D23" i="6"/>
  <c r="D24" i="6"/>
  <c r="D25" i="6"/>
  <c r="D26" i="6"/>
  <c r="D27" i="6"/>
  <c r="D28" i="6"/>
  <c r="D29" i="6"/>
  <c r="D30" i="6"/>
  <c r="D31" i="6"/>
  <c r="D32" i="6"/>
  <c r="D33" i="6"/>
  <c r="D34" i="6"/>
  <c r="D35" i="6"/>
  <c r="D36" i="6"/>
  <c r="D37" i="6"/>
  <c r="D38" i="6"/>
  <c r="D39" i="6"/>
  <c r="D40" i="6"/>
  <c r="AQ12" i="2"/>
  <c r="K6" i="6" l="1"/>
  <c r="E12" i="5"/>
  <c r="E13" i="5"/>
  <c r="E14" i="5"/>
  <c r="E15" i="5"/>
  <c r="E16" i="5"/>
  <c r="E17" i="5"/>
  <c r="E18" i="5"/>
  <c r="E19" i="5"/>
  <c r="E20" i="5"/>
  <c r="E21" i="5"/>
  <c r="E22" i="5"/>
  <c r="E23" i="5"/>
  <c r="E24" i="5"/>
  <c r="E25" i="5"/>
  <c r="E26" i="5"/>
  <c r="E27" i="5"/>
  <c r="E29" i="5"/>
  <c r="E30" i="5"/>
  <c r="E31" i="5"/>
  <c r="E32" i="5"/>
  <c r="E33" i="5"/>
  <c r="E34" i="5"/>
  <c r="E35" i="5"/>
  <c r="E36" i="5"/>
  <c r="E37" i="5"/>
  <c r="E38" i="5"/>
  <c r="E39" i="5"/>
  <c r="E40" i="5"/>
  <c r="E11" i="5"/>
  <c r="I11" i="5"/>
  <c r="K11" i="5" s="1"/>
  <c r="I12" i="5"/>
  <c r="K12" i="5" s="1"/>
  <c r="I13" i="5"/>
  <c r="K13" i="5" s="1"/>
  <c r="I14" i="5"/>
  <c r="K14" i="5" s="1"/>
  <c r="I15" i="5"/>
  <c r="K15" i="5" s="1"/>
  <c r="I16" i="5"/>
  <c r="K16" i="5" s="1"/>
  <c r="I17" i="5"/>
  <c r="K17" i="5" s="1"/>
  <c r="I18" i="5"/>
  <c r="K18" i="5" s="1"/>
  <c r="I19" i="5"/>
  <c r="K19" i="5" s="1"/>
  <c r="I20" i="5"/>
  <c r="K20" i="5" s="1"/>
  <c r="I21" i="5"/>
  <c r="K21" i="5" s="1"/>
  <c r="I22" i="5"/>
  <c r="K22" i="5" s="1"/>
  <c r="I23" i="5"/>
  <c r="K23" i="5" s="1"/>
  <c r="I24" i="5"/>
  <c r="K24" i="5" s="1"/>
  <c r="I25" i="5"/>
  <c r="K25" i="5" s="1"/>
  <c r="I26" i="5"/>
  <c r="K26" i="5" s="1"/>
  <c r="I27" i="5"/>
  <c r="K27" i="5" s="1"/>
  <c r="I28" i="5"/>
  <c r="K28" i="5" s="1"/>
  <c r="I29" i="5"/>
  <c r="K29" i="5" s="1"/>
  <c r="I30" i="5"/>
  <c r="K30" i="5" s="1"/>
  <c r="I31" i="5"/>
  <c r="K31" i="5" s="1"/>
  <c r="I32" i="5"/>
  <c r="K32" i="5" s="1"/>
  <c r="I33" i="5"/>
  <c r="K33" i="5" s="1"/>
  <c r="I34" i="5"/>
  <c r="K34" i="5" s="1"/>
  <c r="I35" i="5"/>
  <c r="K35" i="5" s="1"/>
  <c r="I36" i="5"/>
  <c r="K36" i="5" s="1"/>
  <c r="I37" i="5"/>
  <c r="K37" i="5" s="1"/>
  <c r="I38" i="5"/>
  <c r="K38" i="5" s="1"/>
  <c r="I39" i="5"/>
  <c r="K39" i="5" s="1"/>
  <c r="I40" i="5"/>
  <c r="K40" i="5" s="1"/>
  <c r="I10" i="5"/>
  <c r="K10" i="5" s="1"/>
  <c r="E10" i="5"/>
  <c r="A16" i="10"/>
  <c r="F10" i="5" l="1"/>
  <c r="K16" i="6"/>
  <c r="M16" i="6" s="1"/>
  <c r="K20" i="6"/>
  <c r="M20" i="6" s="1"/>
  <c r="K24" i="6"/>
  <c r="M24" i="6" s="1"/>
  <c r="K28" i="6"/>
  <c r="M28" i="6" s="1"/>
  <c r="K32" i="6"/>
  <c r="M32" i="6" s="1"/>
  <c r="K36" i="6"/>
  <c r="M36" i="6" s="1"/>
  <c r="K40" i="6"/>
  <c r="M40" i="6" s="1"/>
  <c r="J14" i="6"/>
  <c r="L14" i="6" s="1"/>
  <c r="J18" i="6"/>
  <c r="L18" i="6" s="1"/>
  <c r="J22" i="6"/>
  <c r="L22" i="6" s="1"/>
  <c r="J26" i="6"/>
  <c r="L26" i="6" s="1"/>
  <c r="J30" i="6"/>
  <c r="L30" i="6" s="1"/>
  <c r="J34" i="6"/>
  <c r="L34" i="6" s="1"/>
  <c r="J38" i="6"/>
  <c r="L38" i="6" s="1"/>
  <c r="H10" i="5"/>
  <c r="D10" i="5"/>
  <c r="K17" i="6"/>
  <c r="M17" i="6" s="1"/>
  <c r="K21" i="6"/>
  <c r="M21" i="6" s="1"/>
  <c r="K25" i="6"/>
  <c r="M25" i="6" s="1"/>
  <c r="K29" i="6"/>
  <c r="M29" i="6" s="1"/>
  <c r="K33" i="6"/>
  <c r="M33" i="6" s="1"/>
  <c r="K37" i="6"/>
  <c r="M37" i="6" s="1"/>
  <c r="J11" i="6"/>
  <c r="L11" i="6" s="1"/>
  <c r="J15" i="6"/>
  <c r="L15" i="6" s="1"/>
  <c r="J19" i="6"/>
  <c r="L19" i="6" s="1"/>
  <c r="J23" i="6"/>
  <c r="L23" i="6" s="1"/>
  <c r="J27" i="6"/>
  <c r="L27" i="6" s="1"/>
  <c r="J31" i="6"/>
  <c r="L31" i="6" s="1"/>
  <c r="J35" i="6"/>
  <c r="L35" i="6" s="1"/>
  <c r="J39" i="6"/>
  <c r="L39" i="6" s="1"/>
  <c r="K39" i="6"/>
  <c r="M39" i="6" s="1"/>
  <c r="J17" i="6"/>
  <c r="L17" i="6" s="1"/>
  <c r="J25" i="6"/>
  <c r="L25" i="6" s="1"/>
  <c r="J33" i="6"/>
  <c r="L33" i="6" s="1"/>
  <c r="J10" i="6"/>
  <c r="L10" i="6" s="1"/>
  <c r="K18" i="6"/>
  <c r="M18" i="6" s="1"/>
  <c r="K22" i="6"/>
  <c r="M22" i="6" s="1"/>
  <c r="K26" i="6"/>
  <c r="M26" i="6" s="1"/>
  <c r="K30" i="6"/>
  <c r="M30" i="6" s="1"/>
  <c r="K34" i="6"/>
  <c r="M34" i="6" s="1"/>
  <c r="K38" i="6"/>
  <c r="M38" i="6" s="1"/>
  <c r="J12" i="6"/>
  <c r="L12" i="6" s="1"/>
  <c r="J16" i="6"/>
  <c r="L16" i="6" s="1"/>
  <c r="J20" i="6"/>
  <c r="L20" i="6" s="1"/>
  <c r="J24" i="6"/>
  <c r="L24" i="6" s="1"/>
  <c r="J28" i="6"/>
  <c r="L28" i="6" s="1"/>
  <c r="J32" i="6"/>
  <c r="L32" i="6" s="1"/>
  <c r="J36" i="6"/>
  <c r="L36" i="6" s="1"/>
  <c r="J40" i="6"/>
  <c r="L40" i="6" s="1"/>
  <c r="K15" i="6"/>
  <c r="K19" i="6"/>
  <c r="M19" i="6" s="1"/>
  <c r="K23" i="6"/>
  <c r="M23" i="6" s="1"/>
  <c r="K27" i="6"/>
  <c r="M27" i="6" s="1"/>
  <c r="K31" i="6"/>
  <c r="M31" i="6" s="1"/>
  <c r="K35" i="6"/>
  <c r="M35" i="6" s="1"/>
  <c r="J13" i="6"/>
  <c r="L13" i="6" s="1"/>
  <c r="J21" i="6"/>
  <c r="L21" i="6" s="1"/>
  <c r="J29" i="6"/>
  <c r="L29" i="6" s="1"/>
  <c r="J37" i="6"/>
  <c r="L37" i="6" s="1"/>
  <c r="D28" i="5"/>
  <c r="H11" i="5"/>
  <c r="D11" i="5"/>
  <c r="F11" i="5"/>
  <c r="F37" i="5"/>
  <c r="H37" i="5"/>
  <c r="D37" i="5"/>
  <c r="F33" i="5"/>
  <c r="H33" i="5"/>
  <c r="D33" i="5"/>
  <c r="F29" i="5"/>
  <c r="H29" i="5"/>
  <c r="D29" i="5"/>
  <c r="H24" i="5"/>
  <c r="D24" i="5"/>
  <c r="F24" i="5"/>
  <c r="H20" i="5"/>
  <c r="D20" i="5"/>
  <c r="F20" i="5"/>
  <c r="H16" i="5"/>
  <c r="D16" i="5"/>
  <c r="F16" i="5"/>
  <c r="H12" i="5"/>
  <c r="D12" i="5"/>
  <c r="F12" i="5"/>
  <c r="K10" i="6"/>
  <c r="K13" i="6"/>
  <c r="H40" i="5"/>
  <c r="D40" i="5"/>
  <c r="F40" i="5"/>
  <c r="H36" i="5"/>
  <c r="D36" i="5"/>
  <c r="F36" i="5"/>
  <c r="H32" i="5"/>
  <c r="D32" i="5"/>
  <c r="F32" i="5"/>
  <c r="H27" i="5"/>
  <c r="D27" i="5"/>
  <c r="F27" i="5"/>
  <c r="D23" i="5"/>
  <c r="F23" i="5"/>
  <c r="H23" i="5"/>
  <c r="H19" i="5"/>
  <c r="F19" i="5"/>
  <c r="D19" i="5"/>
  <c r="D15" i="5"/>
  <c r="F15" i="5"/>
  <c r="H15" i="5"/>
  <c r="F39" i="5"/>
  <c r="H39" i="5"/>
  <c r="D39" i="5"/>
  <c r="H35" i="5"/>
  <c r="D35" i="5"/>
  <c r="F35" i="5"/>
  <c r="F31" i="5"/>
  <c r="H31" i="5"/>
  <c r="D31" i="5"/>
  <c r="F26" i="5"/>
  <c r="H26" i="5"/>
  <c r="D26" i="5"/>
  <c r="F22" i="5"/>
  <c r="H22" i="5"/>
  <c r="D22" i="5"/>
  <c r="F18" i="5"/>
  <c r="H18" i="5"/>
  <c r="D18" i="5"/>
  <c r="D14" i="5"/>
  <c r="F14" i="5"/>
  <c r="H14" i="5"/>
  <c r="K11" i="6"/>
  <c r="F38" i="5"/>
  <c r="H38" i="5"/>
  <c r="D38" i="5"/>
  <c r="F34" i="5"/>
  <c r="H34" i="5"/>
  <c r="D34" i="5"/>
  <c r="F30" i="5"/>
  <c r="H30" i="5"/>
  <c r="D30" i="5"/>
  <c r="F25" i="5"/>
  <c r="H25" i="5"/>
  <c r="D25" i="5"/>
  <c r="F21" i="5"/>
  <c r="H21" i="5"/>
  <c r="D21" i="5"/>
  <c r="F17" i="5"/>
  <c r="H17" i="5"/>
  <c r="D17" i="5"/>
  <c r="D13" i="5"/>
  <c r="F13" i="5"/>
  <c r="H13" i="5"/>
  <c r="K12" i="6"/>
  <c r="K14" i="6"/>
  <c r="J41" i="5"/>
  <c r="K40" i="4"/>
  <c r="K39" i="4"/>
  <c r="K38" i="4"/>
  <c r="K37" i="4"/>
  <c r="K36" i="4"/>
  <c r="K35" i="4"/>
  <c r="K34" i="4"/>
  <c r="K33" i="4"/>
  <c r="K32" i="4"/>
  <c r="K31" i="4"/>
  <c r="K30" i="4"/>
  <c r="K29" i="4"/>
  <c r="K28" i="4"/>
  <c r="K27" i="4"/>
  <c r="K26" i="4"/>
  <c r="K25" i="4"/>
  <c r="K24" i="4"/>
  <c r="K23" i="4"/>
  <c r="K22" i="4"/>
  <c r="K21" i="4"/>
  <c r="K18" i="4"/>
  <c r="K19" i="4"/>
  <c r="K20" i="4"/>
  <c r="K11" i="4"/>
  <c r="I11" i="6" s="1"/>
  <c r="K12" i="4"/>
  <c r="K13" i="4"/>
  <c r="I13" i="6" s="1"/>
  <c r="K14" i="4"/>
  <c r="K15" i="4"/>
  <c r="K16" i="4"/>
  <c r="I15" i="6" s="1"/>
  <c r="M15" i="6" s="1"/>
  <c r="K17" i="4"/>
  <c r="K10" i="4"/>
  <c r="I10" i="6" s="1"/>
  <c r="M10" i="6" l="1"/>
  <c r="I12" i="6"/>
  <c r="M12" i="6" s="1"/>
  <c r="I14" i="6"/>
  <c r="M14" i="6" s="1"/>
  <c r="M13" i="6"/>
  <c r="M11" i="6"/>
  <c r="J41" i="4"/>
  <c r="AK11" i="2"/>
  <c r="D12" i="2" l="1"/>
  <c r="D13" i="2"/>
  <c r="D14" i="2"/>
  <c r="D15" i="2"/>
  <c r="D16" i="2"/>
  <c r="D17" i="2"/>
  <c r="D18" i="2"/>
  <c r="D19" i="2"/>
  <c r="D20" i="2"/>
  <c r="D21" i="2"/>
  <c r="D11" i="2"/>
  <c r="C12" i="2"/>
  <c r="C13" i="2"/>
  <c r="C14" i="2"/>
  <c r="C15" i="2"/>
  <c r="C16" i="2"/>
  <c r="C17" i="2"/>
  <c r="C18" i="2"/>
  <c r="C19" i="2"/>
  <c r="C20" i="2"/>
  <c r="C21" i="2"/>
  <c r="C11" i="2"/>
  <c r="B12" i="2"/>
  <c r="B13" i="2"/>
  <c r="B14" i="2"/>
  <c r="B15" i="2"/>
  <c r="B16" i="2"/>
  <c r="B17" i="2"/>
  <c r="B18" i="2"/>
  <c r="B19" i="2"/>
  <c r="B20" i="2"/>
  <c r="B21" i="2"/>
  <c r="B11" i="2"/>
  <c r="D8" i="2"/>
  <c r="C8" i="2"/>
  <c r="B8" i="2"/>
  <c r="H7" i="1"/>
  <c r="H8" i="1"/>
  <c r="H9" i="1"/>
  <c r="H10" i="1"/>
  <c r="H11" i="1"/>
  <c r="H12" i="1"/>
  <c r="H13" i="1"/>
  <c r="H14" i="1"/>
  <c r="H15" i="1"/>
  <c r="H16" i="1"/>
  <c r="H6" i="1"/>
  <c r="AL12" i="2" l="1"/>
  <c r="AL13" i="2"/>
  <c r="AL14" i="2"/>
  <c r="AL15" i="2"/>
  <c r="AL16" i="2"/>
  <c r="AL17" i="2"/>
  <c r="AL18" i="2"/>
  <c r="AL19" i="2"/>
  <c r="AL20" i="2"/>
  <c r="AL21" i="2"/>
  <c r="AM12" i="2"/>
  <c r="AM13" i="2"/>
  <c r="AM14" i="2"/>
  <c r="AM15" i="2"/>
  <c r="AM16" i="2"/>
  <c r="AM17" i="2"/>
  <c r="AM18" i="2"/>
  <c r="AM19" i="2"/>
  <c r="AM20" i="2"/>
  <c r="AM21" i="2"/>
  <c r="AM11" i="2"/>
  <c r="AL11" i="2"/>
  <c r="E9" i="2" l="1"/>
  <c r="F9" i="2" s="1"/>
  <c r="G9" i="2" s="1"/>
  <c r="H9" i="2" s="1"/>
  <c r="I9" i="2" s="1"/>
  <c r="J9" i="2" s="1"/>
  <c r="K9" i="2" s="1"/>
  <c r="L9" i="2" s="1"/>
  <c r="M9" i="2" s="1"/>
  <c r="N9" i="2" s="1"/>
  <c r="O9" i="2" s="1"/>
  <c r="P9" i="2" s="1"/>
  <c r="Q9" i="2" s="1"/>
  <c r="R9" i="2" s="1"/>
  <c r="S9" i="2" s="1"/>
  <c r="T9" i="2" s="1"/>
  <c r="U9" i="2" s="1"/>
  <c r="V9" i="2" s="1"/>
  <c r="W9" i="2" s="1"/>
  <c r="X9" i="2" s="1"/>
  <c r="Y9" i="2" s="1"/>
  <c r="Z9" i="2" s="1"/>
  <c r="AA9" i="2" s="1"/>
  <c r="AB9" i="2" s="1"/>
  <c r="AC9" i="2" s="1"/>
  <c r="AD9" i="2" s="1"/>
  <c r="AE9" i="2" s="1"/>
  <c r="AF9" i="2" s="1"/>
  <c r="AG9" i="2" s="1"/>
  <c r="AG10" i="2" s="1"/>
  <c r="AH9" i="2" l="1"/>
  <c r="AH10" i="2" s="1"/>
  <c r="AN12" i="2"/>
  <c r="AN13" i="2"/>
  <c r="AN14" i="2"/>
  <c r="AN15" i="2"/>
  <c r="AN16" i="2"/>
  <c r="AN17" i="2"/>
  <c r="AN18" i="2"/>
  <c r="AN19" i="2"/>
  <c r="AN20" i="2"/>
  <c r="AN21" i="2"/>
  <c r="AN11" i="2"/>
  <c r="AJ12" i="2"/>
  <c r="AJ13" i="2"/>
  <c r="AJ14" i="2"/>
  <c r="AJ15" i="2"/>
  <c r="AJ16" i="2"/>
  <c r="AJ17" i="2"/>
  <c r="AJ18" i="2"/>
  <c r="AJ19" i="2"/>
  <c r="AJ20" i="2"/>
  <c r="AJ21" i="2"/>
  <c r="AJ11" i="2"/>
  <c r="AO20" i="2" l="1"/>
  <c r="AP12" i="2"/>
  <c r="AO19" i="2"/>
  <c r="AO15" i="2"/>
  <c r="AQ15" i="2" s="1"/>
  <c r="AO16" i="2"/>
  <c r="AO11" i="2"/>
  <c r="AQ11" i="2" s="1"/>
  <c r="AO18" i="2"/>
  <c r="AO14" i="2"/>
  <c r="AO21" i="2"/>
  <c r="AO17" i="2"/>
  <c r="AO13" i="2"/>
  <c r="AQ13" i="2" s="1"/>
  <c r="AI9" i="2"/>
  <c r="AI10" i="2" s="1"/>
  <c r="E10" i="2"/>
  <c r="F10" i="2"/>
  <c r="AP14" i="2" l="1"/>
  <c r="AQ14" i="2"/>
  <c r="AP18" i="2"/>
  <c r="AQ18" i="2"/>
  <c r="AP19" i="2"/>
  <c r="AQ19" i="2"/>
  <c r="AP17" i="2"/>
  <c r="AQ17" i="2"/>
  <c r="AP21" i="2"/>
  <c r="AQ21" i="2"/>
  <c r="AP16" i="2"/>
  <c r="AQ16" i="2"/>
  <c r="AP20" i="2"/>
  <c r="AQ20" i="2"/>
  <c r="AP15" i="2"/>
  <c r="AP11" i="2"/>
  <c r="AP13" i="2"/>
  <c r="G10" i="2"/>
  <c r="H10" i="2" l="1"/>
  <c r="I10" i="2" l="1"/>
  <c r="J10" i="2" l="1"/>
  <c r="K10" i="2" l="1"/>
  <c r="L10" i="2" l="1"/>
  <c r="M10" i="2" l="1"/>
  <c r="N10" i="2" l="1"/>
  <c r="O10" i="2" l="1"/>
  <c r="P10" i="2" l="1"/>
  <c r="Q10" i="2" l="1"/>
  <c r="R10" i="2" l="1"/>
  <c r="S10" i="2" l="1"/>
  <c r="T10" i="2" l="1"/>
  <c r="U10" i="2" l="1"/>
  <c r="V10" i="2" l="1"/>
  <c r="W10" i="2" l="1"/>
  <c r="X10" i="2" l="1"/>
  <c r="Y10" i="2" l="1"/>
  <c r="Z10" i="2" l="1"/>
  <c r="AA10" i="2" l="1"/>
  <c r="AB10" i="2" l="1"/>
  <c r="AC10" i="2" l="1"/>
  <c r="AD10" i="2" l="1"/>
  <c r="AE10" i="2" l="1"/>
  <c r="AF10" i="2" l="1"/>
</calcChain>
</file>

<file path=xl/sharedStrings.xml><?xml version="1.0" encoding="utf-8"?>
<sst xmlns="http://schemas.openxmlformats.org/spreadsheetml/2006/main" count="810" uniqueCount="285">
  <si>
    <t>DANH SÁCH NHÂN VIÊN</t>
  </si>
  <si>
    <t>STT</t>
  </si>
  <si>
    <t>MÃ NV</t>
  </si>
  <si>
    <t>HỌ VÀ TÊN</t>
  </si>
  <si>
    <t>NGÀY SINH</t>
  </si>
  <si>
    <t>QUÊ QUÁN</t>
  </si>
  <si>
    <t xml:space="preserve">NGÀY VÀO LÀM </t>
  </si>
  <si>
    <t>CHỨC VỤ</t>
  </si>
  <si>
    <t>Nguyễn Ngọc Anh</t>
  </si>
  <si>
    <t>Bùi Tiến Đạt</t>
  </si>
  <si>
    <t>Hoàng Thị Chung</t>
  </si>
  <si>
    <t>Nguyễn Bảo Bình</t>
  </si>
  <si>
    <t>Ngô Thị Mai Hoa</t>
  </si>
  <si>
    <t>Nguyễn Ngọc Huyền</t>
  </si>
  <si>
    <t>Trần Như Lan</t>
  </si>
  <si>
    <t>Nguyễn Ánh Minh</t>
  </si>
  <si>
    <t>Hoàng Như Quỳnh</t>
  </si>
  <si>
    <t>Lê Thị Tuyết</t>
  </si>
  <si>
    <t>Phan Mạnh Tùng</t>
  </si>
  <si>
    <t>Đà Nẵng</t>
  </si>
  <si>
    <t>Quảng Nam</t>
  </si>
  <si>
    <t>Quảng Trị</t>
  </si>
  <si>
    <t>Quảng Ngãi</t>
  </si>
  <si>
    <t>Bình Định</t>
  </si>
  <si>
    <t>Huế</t>
  </si>
  <si>
    <t>Nghệ An</t>
  </si>
  <si>
    <t>BẢNG CHẤM CÔNG</t>
  </si>
  <si>
    <t>Ngày trong tháng/ Thứ trong tuần</t>
  </si>
  <si>
    <t>Năm</t>
  </si>
  <si>
    <t>Tháng</t>
  </si>
  <si>
    <t>Đủ công</t>
  </si>
  <si>
    <t>Thêm lễ</t>
  </si>
  <si>
    <t>Thay ca</t>
  </si>
  <si>
    <t>Đủ công:</t>
  </si>
  <si>
    <t>Thêm lễ:</t>
  </si>
  <si>
    <t>L</t>
  </si>
  <si>
    <t>Thay ca:</t>
  </si>
  <si>
    <t>T</t>
  </si>
  <si>
    <t>X</t>
  </si>
  <si>
    <t>l</t>
  </si>
  <si>
    <t>t</t>
  </si>
  <si>
    <t>Nghỉ:</t>
  </si>
  <si>
    <t>N</t>
  </si>
  <si>
    <t>Nghỉ</t>
  </si>
  <si>
    <t>Tổng công</t>
  </si>
  <si>
    <t>n</t>
  </si>
  <si>
    <t>Phát sinh:</t>
  </si>
  <si>
    <t>P</t>
  </si>
  <si>
    <t>Lương cơ bản</t>
  </si>
  <si>
    <t>Lương thực tế</t>
  </si>
  <si>
    <t>Quy ra công</t>
  </si>
  <si>
    <t>Kí hiệu chấm công:</t>
  </si>
  <si>
    <t>GC1TN</t>
  </si>
  <si>
    <t>GC11BV</t>
  </si>
  <si>
    <t>GC2PC</t>
  </si>
  <si>
    <t>GC3PC</t>
  </si>
  <si>
    <t>GC4PC</t>
  </si>
  <si>
    <t>GC5PC</t>
  </si>
  <si>
    <t>GC6PV</t>
  </si>
  <si>
    <t>GC7PV</t>
  </si>
  <si>
    <t>GC8PV</t>
  </si>
  <si>
    <t>GC10BV</t>
  </si>
  <si>
    <t>Chú thích</t>
  </si>
  <si>
    <t>TN</t>
  </si>
  <si>
    <t>Thu ngân</t>
  </si>
  <si>
    <t>PC</t>
  </si>
  <si>
    <t>Pha chế</t>
  </si>
  <si>
    <t>PV</t>
  </si>
  <si>
    <t>Phục vụ</t>
  </si>
  <si>
    <t>BV</t>
  </si>
  <si>
    <t>Bảo vệ</t>
  </si>
  <si>
    <t>Lương theo chức vụ:</t>
  </si>
  <si>
    <t>GC9TN</t>
  </si>
  <si>
    <t>Nửa công</t>
  </si>
  <si>
    <t>1/2x</t>
  </si>
  <si>
    <t>Khảo sát</t>
  </si>
  <si>
    <t>Min</t>
  </si>
  <si>
    <t>Max</t>
  </si>
  <si>
    <t>thưởng</t>
  </si>
  <si>
    <t>Thưởng</t>
  </si>
  <si>
    <t xml:space="preserve">Ký nhận </t>
  </si>
  <si>
    <t xml:space="preserve">Ghi chú </t>
  </si>
  <si>
    <t>MÃ HÀNG</t>
  </si>
  <si>
    <t>TÊN HÀNG</t>
  </si>
  <si>
    <t>ĐƠN GIÁ</t>
  </si>
  <si>
    <t>ĐVT</t>
  </si>
  <si>
    <t>SL</t>
  </si>
  <si>
    <t>THÀNH TIỀN</t>
  </si>
  <si>
    <t>DANH MỤC NGUYÊN VẬT LIỆU</t>
  </si>
  <si>
    <t xml:space="preserve">LOẠI PHIẾU </t>
  </si>
  <si>
    <t>T1</t>
  </si>
  <si>
    <t>Trà bí đao</t>
  </si>
  <si>
    <t>thùng</t>
  </si>
  <si>
    <t>T2</t>
  </si>
  <si>
    <t>T3</t>
  </si>
  <si>
    <t>T4</t>
  </si>
  <si>
    <t>T5</t>
  </si>
  <si>
    <t>Trà Olong</t>
  </si>
  <si>
    <t>kg</t>
  </si>
  <si>
    <t>Trà Alisan</t>
  </si>
  <si>
    <t>Trà Earl Gray</t>
  </si>
  <si>
    <t>hộp</t>
  </si>
  <si>
    <t>Trà đen</t>
  </si>
  <si>
    <t>T6</t>
  </si>
  <si>
    <t>Matcha</t>
  </si>
  <si>
    <t>Đường</t>
  </si>
  <si>
    <t>Bột trà sữa</t>
  </si>
  <si>
    <t>Bột kem mặn</t>
  </si>
  <si>
    <t>Bột chocolate</t>
  </si>
  <si>
    <t>Bột sương sáo</t>
  </si>
  <si>
    <t>Bột khoai môn</t>
  </si>
  <si>
    <t>Bột thạch dừa</t>
  </si>
  <si>
    <t>Bột thạch rau câu</t>
  </si>
  <si>
    <t>Bột cà phê</t>
  </si>
  <si>
    <t>Chanh dây</t>
  </si>
  <si>
    <t xml:space="preserve">Đào </t>
  </si>
  <si>
    <t>Hồng</t>
  </si>
  <si>
    <t>Hạt é</t>
  </si>
  <si>
    <t>Vải</t>
  </si>
  <si>
    <t>Xoài</t>
  </si>
  <si>
    <t>Nha đam</t>
  </si>
  <si>
    <t>Thạch trái cây</t>
  </si>
  <si>
    <t>hũ</t>
  </si>
  <si>
    <t xml:space="preserve">Đậu đỏ </t>
  </si>
  <si>
    <t>Siro caramel</t>
  </si>
  <si>
    <t>chai</t>
  </si>
  <si>
    <t>Trân châu trắng</t>
  </si>
  <si>
    <t>Trân châu đen</t>
  </si>
  <si>
    <t>Ống hút</t>
  </si>
  <si>
    <t>cái</t>
  </si>
  <si>
    <t>Thìa</t>
  </si>
  <si>
    <t>Ly</t>
  </si>
  <si>
    <t>Bao bì</t>
  </si>
  <si>
    <t>BẢNG NHẬP NVL</t>
  </si>
  <si>
    <t>BẢNG XUẤT NVL</t>
  </si>
  <si>
    <t>LOẠI PHIẾU</t>
  </si>
  <si>
    <t>TỔNG</t>
  </si>
  <si>
    <t xml:space="preserve">TỔNG </t>
  </si>
  <si>
    <t xml:space="preserve">GHI CHÚ </t>
  </si>
  <si>
    <t>T7</t>
  </si>
  <si>
    <t>T8</t>
  </si>
  <si>
    <t>T9</t>
  </si>
  <si>
    <t>T10</t>
  </si>
  <si>
    <t>T11</t>
  </si>
  <si>
    <t>T12</t>
  </si>
  <si>
    <t>T13</t>
  </si>
  <si>
    <t>T14</t>
  </si>
  <si>
    <t>T15</t>
  </si>
  <si>
    <t>T16</t>
  </si>
  <si>
    <t>T17</t>
  </si>
  <si>
    <t>T18</t>
  </si>
  <si>
    <t>T19</t>
  </si>
  <si>
    <t>T20</t>
  </si>
  <si>
    <t>T21</t>
  </si>
  <si>
    <t>T22</t>
  </si>
  <si>
    <t>T23</t>
  </si>
  <si>
    <t>T24</t>
  </si>
  <si>
    <t>T25</t>
  </si>
  <si>
    <t>T26</t>
  </si>
  <si>
    <t>T27</t>
  </si>
  <si>
    <t>T28</t>
  </si>
  <si>
    <t>T29</t>
  </si>
  <si>
    <t>T30</t>
  </si>
  <si>
    <t>T31</t>
  </si>
  <si>
    <t>TRÀ SỮA GONG CHA</t>
  </si>
  <si>
    <t>CỘNG HÒA XÃ HỘI CHỦ NGHĨA VIỆT NAM</t>
  </si>
  <si>
    <t>Độc lập - Tự do - Hạnh phúc</t>
  </si>
  <si>
    <t xml:space="preserve">Địa chỉ: 25 Nguyễn Văn Linh, quận Hải Châu, thành phố Đà Nẵng </t>
  </si>
  <si>
    <t>Tháng:</t>
  </si>
  <si>
    <t>Năm:</t>
  </si>
  <si>
    <t>GONG CHA</t>
  </si>
  <si>
    <t>Đ/c: 25 Nguyễn Văn Linh, q.Hải Châu, tp.Đà Nẵng</t>
  </si>
  <si>
    <t>HÓA ĐƠN THANH TOÁN</t>
  </si>
  <si>
    <t>Ngày</t>
  </si>
  <si>
    <t>Đ.giá</t>
  </si>
  <si>
    <t>T.tiền</t>
  </si>
  <si>
    <t>Tiền khách đưa</t>
  </si>
  <si>
    <t>Tiền trả lại</t>
  </si>
  <si>
    <t>Thành tiền</t>
  </si>
  <si>
    <t>Cảm ơn quý khách! Hẹn gặp lại!</t>
  </si>
  <si>
    <t>MENU</t>
  </si>
  <si>
    <t>CHI PHÍ SẢN XUẤT TRÀ SỮA</t>
  </si>
  <si>
    <t>BẢNG GIÁ NIÊM YẾT</t>
  </si>
  <si>
    <t>Trà sữa</t>
  </si>
  <si>
    <t>Địa chỉ: 25 Nguyễn Văn Linh, quận Hải Châu, thành phố Đà Nẵng</t>
  </si>
  <si>
    <t>Trần Thị Thúy Trinh</t>
  </si>
  <si>
    <t>Nguyễn Thị Ngọc Ánh</t>
  </si>
  <si>
    <t>Nhóm thực hiện:</t>
  </si>
  <si>
    <t>LOẠI</t>
  </si>
  <si>
    <t>TÊN SẢN PHẨM</t>
  </si>
  <si>
    <t>NGUYÊN LIỆU</t>
  </si>
  <si>
    <t>ĐƠN VỊ</t>
  </si>
  <si>
    <t>GIÁ</t>
  </si>
  <si>
    <t>Trà bí đao Gong Cha</t>
  </si>
  <si>
    <t>310 ml</t>
  </si>
  <si>
    <t xml:space="preserve">Đường </t>
  </si>
  <si>
    <t>Đá</t>
  </si>
  <si>
    <t>2 thìa cà phê</t>
  </si>
  <si>
    <t>2/3 can</t>
  </si>
  <si>
    <t>Trà Oolong Gong Cha</t>
  </si>
  <si>
    <t>Trà Oolong</t>
  </si>
  <si>
    <t>Trà Alisan Gong Cha</t>
  </si>
  <si>
    <t>Trà Earl Grey</t>
  </si>
  <si>
    <t>Trà Đen</t>
  </si>
  <si>
    <t>Trà sữa Matcha đậu đỏ</t>
  </si>
  <si>
    <t>Bột matcha</t>
  </si>
  <si>
    <t>Nước nóng</t>
  </si>
  <si>
    <t>Đậu đỏ</t>
  </si>
  <si>
    <t>20 ml</t>
  </si>
  <si>
    <t>300 ml</t>
  </si>
  <si>
    <t>3 thìa lớn</t>
  </si>
  <si>
    <t>Trà sữa Oolong 3J</t>
  </si>
  <si>
    <t>Pudding</t>
  </si>
  <si>
    <t>Sương sáo</t>
  </si>
  <si>
    <t>240 ml</t>
  </si>
  <si>
    <t>60 ml</t>
  </si>
  <si>
    <t>1 thìa lớn</t>
  </si>
  <si>
    <t>2 thìa lớn</t>
  </si>
  <si>
    <t>Trà sữa Pudding đậu đỏ</t>
  </si>
  <si>
    <t>Trà sữa Chocolate</t>
  </si>
  <si>
    <t xml:space="preserve">Trà sữa </t>
  </si>
  <si>
    <t>Trà sữa Caramel</t>
  </si>
  <si>
    <t xml:space="preserve">TRà sữa </t>
  </si>
  <si>
    <t>Caramel</t>
  </si>
  <si>
    <t>320 ml</t>
  </si>
  <si>
    <t>Trà sữa Trân châu đen</t>
  </si>
  <si>
    <t>Trà sữa Sương sáo</t>
  </si>
  <si>
    <t xml:space="preserve">Trà sữa Oolong </t>
  </si>
  <si>
    <t>Trà sữa Trà đen</t>
  </si>
  <si>
    <t xml:space="preserve">Đường  </t>
  </si>
  <si>
    <t>Trà sữa Khoai môn</t>
  </si>
  <si>
    <t>Trà sữa Earl Grey</t>
  </si>
  <si>
    <t>Trà Bí đao Alisan</t>
  </si>
  <si>
    <t>Trà Bí đao</t>
  </si>
  <si>
    <t>250 ml</t>
  </si>
  <si>
    <t>70 ml</t>
  </si>
  <si>
    <t xml:space="preserve">Trà Alisan </t>
  </si>
  <si>
    <t>Chanh dây Trân châu trắng</t>
  </si>
  <si>
    <t>Đào, hồng, mận, hạt é</t>
  </si>
  <si>
    <t>Đào</t>
  </si>
  <si>
    <t>Mận</t>
  </si>
  <si>
    <t>80 ml</t>
  </si>
  <si>
    <t>Trà Oolong vải</t>
  </si>
  <si>
    <t>Trà Alisan vải</t>
  </si>
  <si>
    <t>Trà Alisan xoài</t>
  </si>
  <si>
    <t>Chocolate đá xay</t>
  </si>
  <si>
    <t xml:space="preserve">Đá </t>
  </si>
  <si>
    <t>1 can</t>
  </si>
  <si>
    <t>Khoại môn đá xay</t>
  </si>
  <si>
    <t>Matcha đá xay</t>
  </si>
  <si>
    <t>Xoài đá xay</t>
  </si>
  <si>
    <t>10 ml</t>
  </si>
  <si>
    <t>Thức uống đá xay</t>
  </si>
  <si>
    <t>Thức uống sáng tạo</t>
  </si>
  <si>
    <t>Trà nguyên chất</t>
  </si>
  <si>
    <t>Thức uống đặc biệt Gong Cha</t>
  </si>
  <si>
    <t>SIZE</t>
  </si>
  <si>
    <t>M</t>
  </si>
  <si>
    <t>Trà sữa Cà phê</t>
  </si>
  <si>
    <t>Trà sữa trà đen</t>
  </si>
  <si>
    <t>Trà sữakhoai môn</t>
  </si>
  <si>
    <t>Trà sữa Earl grey</t>
  </si>
  <si>
    <t>GIÁ TIỀN</t>
  </si>
  <si>
    <t>Trà bí đao alisan</t>
  </si>
  <si>
    <t>Trà alisan</t>
  </si>
  <si>
    <t xml:space="preserve">Trà Oolong </t>
  </si>
  <si>
    <t>Chanh dây trân châu trắng</t>
  </si>
  <si>
    <t>Trà oolong vải</t>
  </si>
  <si>
    <t>Trà alisan vải</t>
  </si>
  <si>
    <t>Trà alisan chanh dây</t>
  </si>
  <si>
    <t>Trà đen đào</t>
  </si>
  <si>
    <t>Trà alisan xoài</t>
  </si>
  <si>
    <t>Khoai môn đá xay</t>
  </si>
  <si>
    <t>Tên thức uống</t>
  </si>
  <si>
    <t>Size</t>
  </si>
  <si>
    <t>IN</t>
  </si>
  <si>
    <t>TÊN SP</t>
  </si>
  <si>
    <t>NHẬP ĐẦU KÌ</t>
  </si>
  <si>
    <t>XUẤT TRONG KÌ</t>
  </si>
  <si>
    <t>TỒN CUỐI KÌ</t>
  </si>
  <si>
    <t>SỐ LƯỢNG</t>
  </si>
  <si>
    <t>BÁO CÁO XUẤT - NHẬP - TỒN</t>
  </si>
  <si>
    <t>Ngày nhập:</t>
  </si>
  <si>
    <t>Ngày xuất:</t>
  </si>
  <si>
    <t>Ký tên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</si>
</sst>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"/>
  </numFmts>
  <fonts count="28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22"/>
      <color rgb="FFFF0000"/>
      <name val="Calibri"/>
      <family val="2"/>
      <scheme val="minor"/>
    </font>
    <font>
      <b/>
      <i/>
      <sz val="11"/>
      <color rgb="FFFF0000"/>
      <name val="Calibri"/>
      <family val="2"/>
      <scheme val="minor"/>
    </font>
    <font>
      <b/>
      <sz val="18"/>
      <color rgb="FFFF0000"/>
      <name val="Calibri"/>
      <family val="2"/>
      <scheme val="minor"/>
    </font>
    <font>
      <b/>
      <sz val="16"/>
      <color rgb="FFFF0000"/>
      <name val="Calibri"/>
      <family val="2"/>
      <scheme val="minor"/>
    </font>
    <font>
      <b/>
      <sz val="20"/>
      <color rgb="FFFF0000"/>
      <name val="Calibri"/>
      <family val="2"/>
      <scheme val="minor"/>
    </font>
    <font>
      <b/>
      <sz val="28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i/>
      <sz val="11"/>
      <color theme="5"/>
      <name val="Calibri"/>
      <family val="2"/>
      <scheme val="minor"/>
    </font>
    <font>
      <sz val="28"/>
      <color theme="1"/>
      <name val="Calibri"/>
      <family val="2"/>
      <scheme val="minor"/>
    </font>
    <font>
      <b/>
      <sz val="26"/>
      <color rgb="FFFF0000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4"/>
      <color rgb="FFFF0000"/>
      <name val="Calibri"/>
      <family val="2"/>
      <scheme val="minor"/>
    </font>
    <font>
      <sz val="16"/>
      <color rgb="FFFF0000"/>
      <name val="Calibri"/>
      <family val="2"/>
      <scheme val="minor"/>
    </font>
    <font>
      <sz val="22"/>
      <color rgb="FFFF0000"/>
      <name val="Calibri"/>
      <family val="2"/>
      <scheme val="minor"/>
    </font>
    <font>
      <b/>
      <i/>
      <sz val="26"/>
      <color rgb="FFFF0000"/>
      <name val="Calibri"/>
      <family val="2"/>
      <scheme val="minor"/>
    </font>
    <font>
      <b/>
      <sz val="30"/>
      <color rgb="FFFF0000"/>
      <name val="Calibri"/>
      <family val="2"/>
      <scheme val="minor"/>
    </font>
    <font>
      <b/>
      <i/>
      <sz val="11"/>
      <color rgb="FF00B050"/>
      <name val="Calibri"/>
      <family val="2"/>
      <scheme val="minor"/>
    </font>
    <font>
      <b/>
      <i/>
      <sz val="11"/>
      <color theme="9" tint="-0.249977111117893"/>
      <name val="Calibri"/>
      <family val="2"/>
      <scheme val="minor"/>
    </font>
    <font>
      <sz val="24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28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9"/>
      <color rgb="FF444950"/>
      <name val="Inherit"/>
    </font>
    <font>
      <sz val="1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39997558519241921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2">
    <xf numFmtId="0" fontId="0" fillId="0" borderId="0"/>
    <xf numFmtId="0" fontId="25" fillId="0" borderId="0" applyNumberFormat="0" applyFill="0" applyBorder="0" applyAlignment="0" applyProtection="0"/>
  </cellStyleXfs>
  <cellXfs count="161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/>
    <xf numFmtId="14" fontId="0" fillId="0" borderId="0" xfId="0" applyNumberFormat="1"/>
    <xf numFmtId="14" fontId="0" fillId="0" borderId="1" xfId="0" applyNumberFormat="1" applyBorder="1"/>
    <xf numFmtId="0" fontId="0" fillId="0" borderId="0" xfId="0" applyAlignment="1"/>
    <xf numFmtId="0" fontId="0" fillId="0" borderId="0" xfId="0" applyAlignment="1">
      <alignment vertical="center"/>
    </xf>
    <xf numFmtId="0" fontId="0" fillId="0" borderId="1" xfId="0" applyBorder="1" applyAlignment="1">
      <alignment horizontal="center"/>
    </xf>
    <xf numFmtId="49" fontId="0" fillId="0" borderId="1" xfId="0" applyNumberFormat="1" applyBorder="1" applyAlignment="1">
      <alignment horizontal="center" textRotation="90"/>
    </xf>
    <xf numFmtId="49" fontId="0" fillId="0" borderId="4" xfId="0" applyNumberFormat="1" applyBorder="1" applyAlignment="1">
      <alignment horizontal="center" textRotation="90"/>
    </xf>
    <xf numFmtId="0" fontId="0" fillId="0" borderId="0" xfId="0" applyBorder="1"/>
    <xf numFmtId="0" fontId="0" fillId="0" borderId="1" xfId="0" applyNumberFormat="1" applyBorder="1" applyAlignment="1">
      <alignment horizontal="center" textRotation="90"/>
    </xf>
    <xf numFmtId="0" fontId="1" fillId="0" borderId="0" xfId="0" applyFont="1" applyAlignment="1"/>
    <xf numFmtId="164" fontId="0" fillId="0" borderId="1" xfId="0" applyNumberFormat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/>
    </xf>
    <xf numFmtId="16" fontId="0" fillId="0" borderId="1" xfId="0" applyNumberFormat="1" applyBorder="1"/>
    <xf numFmtId="0" fontId="1" fillId="0" borderId="0" xfId="0" applyFont="1" applyAlignment="1">
      <alignment horizontal="center"/>
    </xf>
    <xf numFmtId="3" fontId="0" fillId="0" borderId="1" xfId="0" applyNumberFormat="1" applyBorder="1"/>
    <xf numFmtId="0" fontId="1" fillId="0" borderId="1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0" xfId="0" applyFont="1" applyAlignment="1">
      <alignment horizontal="center"/>
    </xf>
    <xf numFmtId="0" fontId="12" fillId="0" borderId="0" xfId="0" applyFont="1" applyAlignment="1">
      <alignment vertical="center"/>
    </xf>
    <xf numFmtId="0" fontId="10" fillId="0" borderId="0" xfId="0" applyFont="1" applyAlignment="1"/>
    <xf numFmtId="0" fontId="6" fillId="0" borderId="0" xfId="0" applyFont="1" applyFill="1" applyAlignment="1">
      <alignment vertical="center"/>
    </xf>
    <xf numFmtId="0" fontId="19" fillId="0" borderId="0" xfId="0" applyFont="1" applyAlignment="1"/>
    <xf numFmtId="0" fontId="0" fillId="0" borderId="6" xfId="0" applyFill="1" applyBorder="1"/>
    <xf numFmtId="0" fontId="0" fillId="0" borderId="1" xfId="0" applyFill="1" applyBorder="1"/>
    <xf numFmtId="0" fontId="0" fillId="0" borderId="0" xfId="0" applyBorder="1" applyAlignment="1">
      <alignment horizontal="center"/>
    </xf>
    <xf numFmtId="0" fontId="0" fillId="0" borderId="0" xfId="0" applyBorder="1" applyAlignment="1">
      <alignment horizontal="center" vertical="center"/>
    </xf>
    <xf numFmtId="0" fontId="0" fillId="0" borderId="0" xfId="0" applyFill="1" applyBorder="1"/>
    <xf numFmtId="0" fontId="1" fillId="0" borderId="0" xfId="0" applyFont="1" applyBorder="1" applyAlignment="1">
      <alignment horizontal="center"/>
    </xf>
    <xf numFmtId="0" fontId="18" fillId="0" borderId="0" xfId="0" applyFont="1" applyAlignment="1">
      <alignment vertical="center"/>
    </xf>
    <xf numFmtId="0" fontId="17" fillId="0" borderId="0" xfId="0" applyFont="1" applyAlignment="1">
      <alignment vertical="center"/>
    </xf>
    <xf numFmtId="0" fontId="0" fillId="0" borderId="0" xfId="0" applyFont="1" applyAlignment="1">
      <alignment horizontal="center"/>
    </xf>
    <xf numFmtId="0" fontId="0" fillId="5" borderId="1" xfId="0" applyFill="1" applyBorder="1"/>
    <xf numFmtId="0" fontId="1" fillId="0" borderId="1" xfId="0" applyFont="1" applyBorder="1"/>
    <xf numFmtId="0" fontId="0" fillId="0" borderId="1" xfId="0" applyFont="1" applyBorder="1"/>
    <xf numFmtId="0" fontId="0" fillId="0" borderId="0" xfId="0" applyFont="1" applyBorder="1"/>
    <xf numFmtId="0" fontId="1" fillId="0" borderId="1" xfId="0" applyFont="1" applyBorder="1" applyAlignment="1"/>
    <xf numFmtId="0" fontId="0" fillId="0" borderId="1" xfId="0" applyBorder="1" applyAlignment="1"/>
    <xf numFmtId="3" fontId="0" fillId="0" borderId="1" xfId="0" applyNumberFormat="1" applyBorder="1" applyAlignment="1"/>
    <xf numFmtId="0" fontId="0" fillId="0" borderId="1" xfId="0" applyBorder="1" applyAlignment="1">
      <alignment horizontal="center" wrapText="1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0" xfId="0" applyBorder="1" applyAlignment="1"/>
    <xf numFmtId="0" fontId="2" fillId="6" borderId="0" xfId="0" applyFont="1" applyFill="1" applyBorder="1"/>
    <xf numFmtId="0" fontId="2" fillId="3" borderId="9" xfId="0" applyFont="1" applyFill="1" applyBorder="1" applyAlignment="1">
      <alignment horizontal="center" vertical="center"/>
    </xf>
    <xf numFmtId="0" fontId="2" fillId="3" borderId="7" xfId="0" applyFont="1" applyFill="1" applyBorder="1" applyAlignment="1">
      <alignment horizontal="center" vertical="center"/>
    </xf>
    <xf numFmtId="14" fontId="2" fillId="3" borderId="7" xfId="0" applyNumberFormat="1" applyFont="1" applyFill="1" applyBorder="1" applyAlignment="1">
      <alignment horizontal="center" vertical="center"/>
    </xf>
    <xf numFmtId="0" fontId="2" fillId="3" borderId="10" xfId="0" applyFont="1" applyFill="1" applyBorder="1" applyAlignment="1">
      <alignment horizontal="center" vertical="center"/>
    </xf>
    <xf numFmtId="0" fontId="0" fillId="0" borderId="11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5" xfId="0" applyBorder="1"/>
    <xf numFmtId="14" fontId="0" fillId="0" borderId="5" xfId="0" applyNumberFormat="1" applyBorder="1"/>
    <xf numFmtId="0" fontId="0" fillId="0" borderId="12" xfId="0" applyBorder="1" applyAlignment="1">
      <alignment horizontal="center"/>
    </xf>
    <xf numFmtId="0" fontId="0" fillId="0" borderId="12" xfId="0" applyBorder="1"/>
    <xf numFmtId="0" fontId="0" fillId="0" borderId="4" xfId="0" applyFont="1" applyBorder="1"/>
    <xf numFmtId="0" fontId="0" fillId="0" borderId="2" xfId="0" applyFont="1" applyBorder="1"/>
    <xf numFmtId="0" fontId="2" fillId="3" borderId="9" xfId="0" applyFont="1" applyFill="1" applyBorder="1"/>
    <xf numFmtId="0" fontId="2" fillId="3" borderId="7" xfId="0" applyFont="1" applyFill="1" applyBorder="1" applyAlignment="1">
      <alignment horizontal="center"/>
    </xf>
    <xf numFmtId="0" fontId="2" fillId="3" borderId="7" xfId="0" applyFont="1" applyFill="1" applyBorder="1"/>
    <xf numFmtId="0" fontId="2" fillId="3" borderId="10" xfId="0" applyFont="1" applyFill="1" applyBorder="1" applyAlignment="1">
      <alignment horizontal="center"/>
    </xf>
    <xf numFmtId="0" fontId="0" fillId="0" borderId="11" xfId="0" applyFont="1" applyBorder="1"/>
    <xf numFmtId="0" fontId="0" fillId="0" borderId="5" xfId="0" applyFont="1" applyBorder="1"/>
    <xf numFmtId="0" fontId="0" fillId="0" borderId="12" xfId="0" applyFont="1" applyBorder="1"/>
    <xf numFmtId="0" fontId="0" fillId="0" borderId="4" xfId="0" applyBorder="1" applyAlignment="1">
      <alignment horizontal="center" vertical="center"/>
    </xf>
    <xf numFmtId="0" fontId="0" fillId="0" borderId="2" xfId="0" applyBorder="1"/>
    <xf numFmtId="0" fontId="2" fillId="3" borderId="9" xfId="0" applyFont="1" applyFill="1" applyBorder="1" applyAlignment="1">
      <alignment horizontal="center"/>
    </xf>
    <xf numFmtId="0" fontId="2" fillId="3" borderId="13" xfId="0" applyFont="1" applyFill="1" applyBorder="1" applyAlignment="1">
      <alignment horizontal="center" vertical="center"/>
    </xf>
    <xf numFmtId="0" fontId="2" fillId="3" borderId="11" xfId="0" applyFont="1" applyFill="1" applyBorder="1" applyAlignment="1">
      <alignment horizontal="center" vertical="center"/>
    </xf>
    <xf numFmtId="0" fontId="1" fillId="0" borderId="10" xfId="0" applyFont="1" applyBorder="1" applyAlignment="1">
      <alignment horizontal="center"/>
    </xf>
    <xf numFmtId="0" fontId="1" fillId="0" borderId="9" xfId="0" applyFont="1" applyBorder="1" applyAlignment="1">
      <alignment horizontal="center"/>
    </xf>
    <xf numFmtId="0" fontId="1" fillId="0" borderId="7" xfId="0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0" fillId="0" borderId="11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37" fontId="0" fillId="0" borderId="2" xfId="0" applyNumberFormat="1" applyBorder="1" applyAlignment="1">
      <alignment horizontal="center"/>
    </xf>
    <xf numFmtId="37" fontId="0" fillId="0" borderId="12" xfId="0" applyNumberFormat="1" applyBorder="1" applyAlignment="1">
      <alignment horizontal="center"/>
    </xf>
    <xf numFmtId="3" fontId="0" fillId="0" borderId="12" xfId="0" applyNumberFormat="1" applyBorder="1" applyAlignment="1">
      <alignment horizontal="right"/>
    </xf>
    <xf numFmtId="0" fontId="0" fillId="0" borderId="11" xfId="0" applyBorder="1" applyAlignment="1">
      <alignment horizontal="right"/>
    </xf>
    <xf numFmtId="0" fontId="0" fillId="5" borderId="1" xfId="0" applyFill="1" applyBorder="1" applyAlignment="1">
      <alignment horizontal="center"/>
    </xf>
    <xf numFmtId="3" fontId="26" fillId="0" borderId="1" xfId="0" applyNumberFormat="1" applyFont="1" applyBorder="1" applyAlignment="1">
      <alignment horizontal="center" vertical="center" wrapText="1"/>
    </xf>
    <xf numFmtId="3" fontId="0" fillId="0" borderId="1" xfId="0" applyNumberFormat="1" applyBorder="1" applyAlignment="1">
      <alignment horizontal="center"/>
    </xf>
    <xf numFmtId="0" fontId="15" fillId="0" borderId="0" xfId="0" applyFont="1" applyFill="1" applyAlignment="1">
      <alignment vertical="center"/>
    </xf>
    <xf numFmtId="0" fontId="20" fillId="0" borderId="0" xfId="0" applyFont="1" applyAlignment="1">
      <alignment horizontal="left"/>
    </xf>
    <xf numFmtId="0" fontId="1" fillId="0" borderId="0" xfId="0" applyFont="1" applyAlignment="1">
      <alignment horizontal="left"/>
    </xf>
    <xf numFmtId="0" fontId="18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4" fillId="3" borderId="1" xfId="0" applyFont="1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3" fillId="2" borderId="0" xfId="0" applyFont="1" applyFill="1" applyAlignment="1">
      <alignment horizontal="center" vertical="center"/>
    </xf>
    <xf numFmtId="0" fontId="25" fillId="4" borderId="0" xfId="1" applyFill="1" applyAlignment="1">
      <alignment horizontal="center" vertical="center"/>
    </xf>
    <xf numFmtId="0" fontId="1" fillId="7" borderId="5" xfId="0" applyFont="1" applyFill="1" applyBorder="1" applyAlignment="1">
      <alignment horizontal="center" vertical="center"/>
    </xf>
    <xf numFmtId="0" fontId="1" fillId="7" borderId="6" xfId="0" applyFont="1" applyFill="1" applyBorder="1" applyAlignment="1">
      <alignment horizontal="center" vertical="center"/>
    </xf>
    <xf numFmtId="0" fontId="1" fillId="7" borderId="7" xfId="0" applyFont="1" applyFill="1" applyBorder="1" applyAlignment="1">
      <alignment horizontal="center" vertical="center"/>
    </xf>
    <xf numFmtId="0" fontId="1" fillId="7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 textRotation="90"/>
    </xf>
    <xf numFmtId="0" fontId="0" fillId="0" borderId="7" xfId="0" applyBorder="1" applyAlignment="1">
      <alignment horizontal="center" textRotation="90"/>
    </xf>
    <xf numFmtId="0" fontId="0" fillId="0" borderId="1" xfId="0" applyBorder="1" applyAlignment="1">
      <alignment horizontal="left"/>
    </xf>
    <xf numFmtId="0" fontId="1" fillId="7" borderId="5" xfId="0" applyFont="1" applyFill="1" applyBorder="1" applyAlignment="1">
      <alignment vertical="center"/>
    </xf>
    <xf numFmtId="0" fontId="1" fillId="7" borderId="6" xfId="0" applyFont="1" applyFill="1" applyBorder="1" applyAlignment="1">
      <alignment vertical="center"/>
    </xf>
    <xf numFmtId="0" fontId="1" fillId="7" borderId="7" xfId="0" applyFont="1" applyFill="1" applyBorder="1" applyAlignment="1">
      <alignment vertical="center"/>
    </xf>
    <xf numFmtId="0" fontId="27" fillId="7" borderId="2" xfId="0" applyFont="1" applyFill="1" applyBorder="1" applyAlignment="1">
      <alignment horizontal="center"/>
    </xf>
    <xf numFmtId="0" fontId="27" fillId="7" borderId="3" xfId="0" applyFont="1" applyFill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5" fillId="2" borderId="0" xfId="0" applyFont="1" applyFill="1" applyAlignment="1">
      <alignment horizontal="center" vertical="center"/>
    </xf>
    <xf numFmtId="0" fontId="1" fillId="8" borderId="2" xfId="0" applyFont="1" applyFill="1" applyBorder="1" applyAlignment="1">
      <alignment horizontal="center"/>
    </xf>
    <xf numFmtId="0" fontId="1" fillId="8" borderId="3" xfId="0" applyFont="1" applyFill="1" applyBorder="1" applyAlignment="1">
      <alignment horizontal="center"/>
    </xf>
    <xf numFmtId="0" fontId="1" fillId="8" borderId="4" xfId="0" applyFont="1" applyFill="1" applyBorder="1" applyAlignment="1">
      <alignment horizontal="center"/>
    </xf>
    <xf numFmtId="0" fontId="7" fillId="2" borderId="0" xfId="0" applyFont="1" applyFill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0" fontId="1" fillId="0" borderId="7" xfId="0" applyFont="1" applyBorder="1" applyAlignment="1">
      <alignment horizontal="center" vertical="center"/>
    </xf>
    <xf numFmtId="0" fontId="8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9" fillId="0" borderId="0" xfId="0" applyFont="1" applyAlignment="1">
      <alignment horizontal="center"/>
    </xf>
    <xf numFmtId="0" fontId="10" fillId="0" borderId="0" xfId="0" applyFont="1" applyAlignment="1">
      <alignment horizontal="center"/>
    </xf>
    <xf numFmtId="0" fontId="11" fillId="0" borderId="0" xfId="0" applyFont="1" applyAlignment="1">
      <alignment horizontal="center" vertical="center"/>
    </xf>
    <xf numFmtId="0" fontId="1" fillId="0" borderId="2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16" fillId="2" borderId="0" xfId="0" applyFont="1" applyFill="1" applyAlignment="1">
      <alignment horizontal="center" vertical="center"/>
    </xf>
    <xf numFmtId="0" fontId="16" fillId="2" borderId="8" xfId="0" applyFont="1" applyFill="1" applyBorder="1" applyAlignment="1">
      <alignment horizontal="center" vertical="center"/>
    </xf>
    <xf numFmtId="3" fontId="0" fillId="0" borderId="5" xfId="0" applyNumberFormat="1" applyBorder="1" applyAlignment="1">
      <alignment horizontal="center" vertical="center"/>
    </xf>
    <xf numFmtId="3" fontId="0" fillId="0" borderId="6" xfId="0" applyNumberFormat="1" applyBorder="1" applyAlignment="1">
      <alignment horizontal="center" vertical="center"/>
    </xf>
    <xf numFmtId="3" fontId="0" fillId="0" borderId="7" xfId="0" applyNumberForma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3" fontId="0" fillId="0" borderId="5" xfId="0" applyNumberFormat="1" applyBorder="1" applyAlignment="1">
      <alignment horizontal="center"/>
    </xf>
    <xf numFmtId="3" fontId="0" fillId="0" borderId="6" xfId="0" applyNumberFormat="1" applyBorder="1" applyAlignment="1">
      <alignment horizontal="center"/>
    </xf>
    <xf numFmtId="3" fontId="0" fillId="0" borderId="7" xfId="0" applyNumberFormat="1" applyBorder="1" applyAlignment="1">
      <alignment horizontal="center"/>
    </xf>
    <xf numFmtId="0" fontId="24" fillId="0" borderId="5" xfId="0" applyFont="1" applyBorder="1" applyAlignment="1">
      <alignment horizontal="center" vertical="center" textRotation="90"/>
    </xf>
    <xf numFmtId="0" fontId="24" fillId="0" borderId="6" xfId="0" applyFont="1" applyBorder="1" applyAlignment="1">
      <alignment horizontal="center" vertical="center" textRotation="90"/>
    </xf>
    <xf numFmtId="0" fontId="24" fillId="0" borderId="7" xfId="0" applyFont="1" applyBorder="1" applyAlignment="1">
      <alignment horizontal="center" vertical="center" textRotation="90"/>
    </xf>
    <xf numFmtId="0" fontId="23" fillId="0" borderId="5" xfId="0" applyFont="1" applyBorder="1" applyAlignment="1">
      <alignment horizontal="center" vertical="center" textRotation="90"/>
    </xf>
    <xf numFmtId="0" fontId="23" fillId="0" borderId="6" xfId="0" applyFont="1" applyBorder="1" applyAlignment="1">
      <alignment horizontal="center" vertical="center" textRotation="90"/>
    </xf>
    <xf numFmtId="0" fontId="23" fillId="0" borderId="7" xfId="0" applyFont="1" applyBorder="1" applyAlignment="1">
      <alignment horizontal="center" vertical="center" textRotation="90"/>
    </xf>
    <xf numFmtId="0" fontId="22" fillId="0" borderId="0" xfId="0" applyFont="1" applyBorder="1" applyAlignment="1">
      <alignment horizontal="center" vertical="center" textRotation="90"/>
    </xf>
    <xf numFmtId="0" fontId="21" fillId="0" borderId="0" xfId="0" applyFont="1" applyBorder="1" applyAlignment="1">
      <alignment horizontal="center" vertical="center" textRotation="90"/>
    </xf>
    <xf numFmtId="0" fontId="22" fillId="0" borderId="5" xfId="0" applyFont="1" applyBorder="1" applyAlignment="1">
      <alignment horizontal="center" vertical="center" textRotation="90"/>
    </xf>
    <xf numFmtId="0" fontId="22" fillId="0" borderId="6" xfId="0" applyFont="1" applyBorder="1" applyAlignment="1">
      <alignment horizontal="center" vertical="center" textRotation="90"/>
    </xf>
    <xf numFmtId="0" fontId="22" fillId="0" borderId="7" xfId="0" applyFont="1" applyBorder="1" applyAlignment="1">
      <alignment horizontal="center" vertical="center" textRotation="90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0" xfId="0" applyBorder="1" applyAlignment="1">
      <alignment horizontal="center"/>
    </xf>
    <xf numFmtId="0" fontId="12" fillId="0" borderId="0" xfId="0" applyFont="1" applyAlignment="1">
      <alignment horizontal="center" vertical="center"/>
    </xf>
    <xf numFmtId="0" fontId="13" fillId="0" borderId="0" xfId="0" applyFont="1" applyAlignment="1">
      <alignment horizontal="center"/>
    </xf>
    <xf numFmtId="0" fontId="15" fillId="5" borderId="0" xfId="0" applyFont="1" applyFill="1" applyAlignment="1">
      <alignment horizontal="center" vertical="center"/>
    </xf>
    <xf numFmtId="0" fontId="14" fillId="0" borderId="0" xfId="0" applyFont="1" applyAlignment="1">
      <alignment horizontal="center"/>
    </xf>
  </cellXfs>
  <cellStyles count="2">
    <cellStyle name="Hyperlink" xfId="1" builtinId="8"/>
    <cellStyle name="Normal" xfId="0" builtinId="0"/>
  </cellStyles>
  <dxfs count="51">
    <dxf>
      <numFmt numFmtId="165" formatCode="#,##0;\-#,##0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numFmt numFmtId="3" formatCode="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3" formatCode="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scheme val="minor"/>
      </font>
      <fill>
        <patternFill patternType="solid">
          <fgColor indexed="64"/>
          <bgColor theme="5" tint="0.5999938962981048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numFmt numFmtId="3" formatCode="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3" formatCode="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scheme val="minor"/>
      </font>
      <fill>
        <patternFill patternType="solid">
          <fgColor indexed="64"/>
          <bgColor theme="5" tint="0.5999938962981048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numFmt numFmtId="166" formatCode="dd/mm/yyyy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6" formatCode="dd/mm/yyyy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scheme val="minor"/>
      </font>
      <fill>
        <patternFill patternType="solid">
          <fgColor indexed="64"/>
          <bgColor theme="5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#GIANY!A1"/><Relationship Id="rId3" Type="http://schemas.openxmlformats.org/officeDocument/2006/relationships/hyperlink" Target="#DMNVL!DMNVL"/><Relationship Id="rId7" Type="http://schemas.openxmlformats.org/officeDocument/2006/relationships/hyperlink" Target="#CHIPHI!A1"/><Relationship Id="rId2" Type="http://schemas.openxmlformats.org/officeDocument/2006/relationships/hyperlink" Target="#DSNV"/><Relationship Id="rId1" Type="http://schemas.openxmlformats.org/officeDocument/2006/relationships/image" Target="../media/image1.png"/><Relationship Id="rId6" Type="http://schemas.openxmlformats.org/officeDocument/2006/relationships/hyperlink" Target="#INHD!A1"/><Relationship Id="rId11" Type="http://schemas.openxmlformats.org/officeDocument/2006/relationships/hyperlink" Target="#NXT!A1"/><Relationship Id="rId5" Type="http://schemas.openxmlformats.org/officeDocument/2006/relationships/hyperlink" Target="#BNNVL!BNNVL"/><Relationship Id="rId10" Type="http://schemas.openxmlformats.org/officeDocument/2006/relationships/hyperlink" Target="#BCC"/><Relationship Id="rId4" Type="http://schemas.openxmlformats.org/officeDocument/2006/relationships/hyperlink" Target="#LISTTH!A1"/><Relationship Id="rId9" Type="http://schemas.openxmlformats.org/officeDocument/2006/relationships/hyperlink" Target="#BXNVL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600075</xdr:colOff>
      <xdr:row>0</xdr:row>
      <xdr:rowOff>0</xdr:rowOff>
    </xdr:from>
    <xdr:to>
      <xdr:col>12</xdr:col>
      <xdr:colOff>600075</xdr:colOff>
      <xdr:row>3</xdr:row>
      <xdr:rowOff>38100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53300" y="0"/>
          <a:ext cx="609600" cy="6096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13</xdr:row>
      <xdr:rowOff>57150</xdr:rowOff>
    </xdr:from>
    <xdr:to>
      <xdr:col>11</xdr:col>
      <xdr:colOff>123825</xdr:colOff>
      <xdr:row>20</xdr:row>
      <xdr:rowOff>95250</xdr:rowOff>
    </xdr:to>
    <xdr:sp macro="" textlink="">
      <xdr:nvSpPr>
        <xdr:cNvPr id="3" name="Oval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4238625" y="2533650"/>
          <a:ext cx="2638425" cy="1371600"/>
        </a:xfrm>
        <a:prstGeom prst="ellipse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lang="en-GB" sz="1100" b="1"/>
        </a:p>
        <a:p>
          <a:pPr algn="ctr"/>
          <a:r>
            <a:rPr lang="en-GB" sz="1100" b="1" baseline="0">
              <a:solidFill>
                <a:srgbClr val="FF0000"/>
              </a:solidFill>
            </a:rPr>
            <a:t>      </a:t>
          </a:r>
          <a:r>
            <a:rPr lang="en-GB" sz="2400" b="1">
              <a:solidFill>
                <a:srgbClr val="FF0000"/>
              </a:solidFill>
            </a:rPr>
            <a:t>LỢI</a:t>
          </a:r>
          <a:r>
            <a:rPr lang="en-GB" sz="2400" b="1" baseline="0">
              <a:solidFill>
                <a:srgbClr val="FF0000"/>
              </a:solidFill>
            </a:rPr>
            <a:t> NHUẬN</a:t>
          </a:r>
          <a:endParaRPr lang="en-GB" sz="2400" b="1">
            <a:solidFill>
              <a:srgbClr val="FF0000"/>
            </a:solidFill>
          </a:endParaRPr>
        </a:p>
      </xdr:txBody>
    </xdr:sp>
    <xdr:clientData/>
  </xdr:twoCellAnchor>
  <xdr:twoCellAnchor>
    <xdr:from>
      <xdr:col>7</xdr:col>
      <xdr:colOff>485776</xdr:colOff>
      <xdr:row>7</xdr:row>
      <xdr:rowOff>76201</xdr:rowOff>
    </xdr:from>
    <xdr:to>
      <xdr:col>10</xdr:col>
      <xdr:colOff>381000</xdr:colOff>
      <xdr:row>12</xdr:row>
      <xdr:rowOff>95251</xdr:rowOff>
    </xdr:to>
    <xdr:sp macro="" textlink="">
      <xdr:nvSpPr>
        <xdr:cNvPr id="5" name="Cloud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4714876" y="1409701"/>
          <a:ext cx="1809749" cy="971550"/>
        </a:xfrm>
        <a:prstGeom prst="cloud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endParaRPr lang="en-GB" sz="1100" b="1"/>
        </a:p>
        <a:p>
          <a:pPr algn="ctr"/>
          <a:r>
            <a:rPr lang="en-GB" sz="1600" b="1" baseline="0"/>
            <a:t>NHÂN VIÊN</a:t>
          </a:r>
          <a:endParaRPr lang="en-GB" sz="1600" b="1"/>
        </a:p>
      </xdr:txBody>
    </xdr:sp>
    <xdr:clientData/>
  </xdr:twoCellAnchor>
  <xdr:twoCellAnchor>
    <xdr:from>
      <xdr:col>2</xdr:col>
      <xdr:colOff>47625</xdr:colOff>
      <xdr:row>14</xdr:row>
      <xdr:rowOff>180975</xdr:rowOff>
    </xdr:from>
    <xdr:to>
      <xdr:col>5</xdr:col>
      <xdr:colOff>381000</xdr:colOff>
      <xdr:row>20</xdr:row>
      <xdr:rowOff>9525</xdr:rowOff>
    </xdr:to>
    <xdr:sp macro="" textlink="">
      <xdr:nvSpPr>
        <xdr:cNvPr id="6" name="Cloud 5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1266825" y="2847975"/>
          <a:ext cx="2124075" cy="971550"/>
        </a:xfrm>
        <a:prstGeom prst="cloud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lang="en-GB" sz="1100" b="1"/>
        </a:p>
        <a:p>
          <a:pPr algn="ctr"/>
          <a:r>
            <a:rPr lang="en-GB" sz="1600" b="1" baseline="0"/>
            <a:t>NGUYÊN LIỆU </a:t>
          </a:r>
          <a:endParaRPr lang="en-GB" sz="1600" b="1"/>
        </a:p>
      </xdr:txBody>
    </xdr:sp>
    <xdr:clientData/>
  </xdr:twoCellAnchor>
  <xdr:twoCellAnchor>
    <xdr:from>
      <xdr:col>13</xdr:col>
      <xdr:colOff>19050</xdr:colOff>
      <xdr:row>20</xdr:row>
      <xdr:rowOff>85725</xdr:rowOff>
    </xdr:from>
    <xdr:to>
      <xdr:col>16</xdr:col>
      <xdr:colOff>438150</xdr:colOff>
      <xdr:row>25</xdr:row>
      <xdr:rowOff>104775</xdr:rowOff>
    </xdr:to>
    <xdr:sp macro="" textlink="">
      <xdr:nvSpPr>
        <xdr:cNvPr id="7" name="Cloud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7991475" y="3895725"/>
          <a:ext cx="2247900" cy="971550"/>
        </a:xfrm>
        <a:prstGeom prst="cloud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lang="en-GB" sz="1100" b="1"/>
        </a:p>
        <a:p>
          <a:pPr algn="ctr"/>
          <a:r>
            <a:rPr lang="en-GB" sz="1600" b="1" baseline="0"/>
            <a:t>TỔNG HỢP</a:t>
          </a:r>
          <a:endParaRPr lang="en-GB" sz="1600" b="1"/>
        </a:p>
      </xdr:txBody>
    </xdr:sp>
    <xdr:clientData/>
  </xdr:twoCellAnchor>
  <xdr:twoCellAnchor>
    <xdr:from>
      <xdr:col>2</xdr:col>
      <xdr:colOff>219075</xdr:colOff>
      <xdr:row>8</xdr:row>
      <xdr:rowOff>28574</xdr:rowOff>
    </xdr:from>
    <xdr:to>
      <xdr:col>6</xdr:col>
      <xdr:colOff>438150</xdr:colOff>
      <xdr:row>12</xdr:row>
      <xdr:rowOff>95249</xdr:rowOff>
    </xdr:to>
    <xdr:sp macro="" textlink="">
      <xdr:nvSpPr>
        <xdr:cNvPr id="8" name="Cloud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1438275" y="1552574"/>
          <a:ext cx="2619375" cy="828675"/>
        </a:xfrm>
        <a:prstGeom prst="cloud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GB" sz="1100" b="1" baseline="0">
              <a:solidFill>
                <a:schemeClr val="tx1"/>
              </a:solidFill>
            </a:rPr>
            <a:t>  </a:t>
          </a:r>
          <a:r>
            <a:rPr lang="en-GB" sz="1400" b="1" baseline="0">
              <a:solidFill>
                <a:schemeClr val="tx1"/>
              </a:solidFill>
            </a:rPr>
            <a:t>NHẬP VẬT LIỆU</a:t>
          </a:r>
          <a:endParaRPr lang="en-GB" sz="1400" b="1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190500</xdr:colOff>
      <xdr:row>13</xdr:row>
      <xdr:rowOff>180975</xdr:rowOff>
    </xdr:from>
    <xdr:to>
      <xdr:col>15</xdr:col>
      <xdr:colOff>142875</xdr:colOff>
      <xdr:row>19</xdr:row>
      <xdr:rowOff>9525</xdr:rowOff>
    </xdr:to>
    <xdr:sp macro="" textlink="">
      <xdr:nvSpPr>
        <xdr:cNvPr id="9" name="Cloud 8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7553325" y="2657475"/>
          <a:ext cx="1781175" cy="971550"/>
        </a:xfrm>
        <a:prstGeom prst="cloud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400" b="1"/>
            <a:t>HÓA</a:t>
          </a:r>
          <a:r>
            <a:rPr lang="en-GB" sz="1400" b="1" baseline="0"/>
            <a:t> ĐƠN</a:t>
          </a:r>
          <a:endParaRPr lang="en-GB" sz="1400" b="1"/>
        </a:p>
      </xdr:txBody>
    </xdr:sp>
    <xdr:clientData/>
  </xdr:twoCellAnchor>
  <xdr:twoCellAnchor>
    <xdr:from>
      <xdr:col>1</xdr:col>
      <xdr:colOff>266700</xdr:colOff>
      <xdr:row>21</xdr:row>
      <xdr:rowOff>152400</xdr:rowOff>
    </xdr:from>
    <xdr:to>
      <xdr:col>5</xdr:col>
      <xdr:colOff>219075</xdr:colOff>
      <xdr:row>26</xdr:row>
      <xdr:rowOff>171450</xdr:rowOff>
    </xdr:to>
    <xdr:sp macro="" textlink="">
      <xdr:nvSpPr>
        <xdr:cNvPr id="10" name="Cloud 9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876300" y="4152900"/>
          <a:ext cx="2352675" cy="971550"/>
        </a:xfrm>
        <a:prstGeom prst="cloud">
          <a:avLst/>
        </a:prstGeom>
      </xdr:spPr>
      <xdr:style>
        <a:lnRef idx="1">
          <a:schemeClr val="accent5"/>
        </a:lnRef>
        <a:fillRef idx="3">
          <a:schemeClr val="accent5"/>
        </a:fillRef>
        <a:effectRef idx="2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lang="en-GB" sz="1100" b="1"/>
        </a:p>
        <a:p>
          <a:pPr algn="ctr"/>
          <a:r>
            <a:rPr lang="en-GB" sz="1400" b="1" baseline="0"/>
            <a:t>CHI PHÍ SẢN XUẤT</a:t>
          </a:r>
          <a:endParaRPr lang="en-GB" sz="1400" b="1"/>
        </a:p>
      </xdr:txBody>
    </xdr:sp>
    <xdr:clientData/>
  </xdr:twoCellAnchor>
  <xdr:twoCellAnchor>
    <xdr:from>
      <xdr:col>5</xdr:col>
      <xdr:colOff>571500</xdr:colOff>
      <xdr:row>21</xdr:row>
      <xdr:rowOff>123825</xdr:rowOff>
    </xdr:from>
    <xdr:to>
      <xdr:col>8</xdr:col>
      <xdr:colOff>657225</xdr:colOff>
      <xdr:row>26</xdr:row>
      <xdr:rowOff>142875</xdr:rowOff>
    </xdr:to>
    <xdr:sp macro="" textlink="">
      <xdr:nvSpPr>
        <xdr:cNvPr id="11" name="Cloud 10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>
          <a:off x="3581400" y="4124325"/>
          <a:ext cx="1914525" cy="971550"/>
        </a:xfrm>
        <a:prstGeom prst="cloud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lang="en-GB" sz="1100" b="1"/>
        </a:p>
        <a:p>
          <a:pPr algn="ctr"/>
          <a:r>
            <a:rPr lang="en-GB" sz="1400" b="1" baseline="0"/>
            <a:t>GIÁ NIÊM YẾT</a:t>
          </a:r>
          <a:endParaRPr lang="en-GB" sz="1400" b="1"/>
        </a:p>
      </xdr:txBody>
    </xdr:sp>
    <xdr:clientData/>
  </xdr:twoCellAnchor>
  <xdr:twoCellAnchor>
    <xdr:from>
      <xdr:col>11</xdr:col>
      <xdr:colOff>600073</xdr:colOff>
      <xdr:row>7</xdr:row>
      <xdr:rowOff>28576</xdr:rowOff>
    </xdr:from>
    <xdr:to>
      <xdr:col>15</xdr:col>
      <xdr:colOff>533400</xdr:colOff>
      <xdr:row>12</xdr:row>
      <xdr:rowOff>47626</xdr:rowOff>
    </xdr:to>
    <xdr:sp macro="" textlink="">
      <xdr:nvSpPr>
        <xdr:cNvPr id="12" name="Cloud 11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>
          <a:off x="7353298" y="1362076"/>
          <a:ext cx="2371727" cy="971550"/>
        </a:xfrm>
        <a:prstGeom prst="cloud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GB" sz="1400" b="1" baseline="0"/>
            <a:t> </a:t>
          </a:r>
          <a:r>
            <a:rPr lang="en-GB" sz="1400" b="1"/>
            <a:t>XUẤT</a:t>
          </a:r>
          <a:r>
            <a:rPr lang="en-GB" sz="1400" b="1" baseline="0"/>
            <a:t> VẬT LIỆU</a:t>
          </a:r>
          <a:endParaRPr lang="en-GB" sz="1400" b="1"/>
        </a:p>
      </xdr:txBody>
    </xdr:sp>
    <xdr:clientData/>
  </xdr:twoCellAnchor>
  <xdr:twoCellAnchor>
    <xdr:from>
      <xdr:col>9</xdr:col>
      <xdr:colOff>323850</xdr:colOff>
      <xdr:row>21</xdr:row>
      <xdr:rowOff>95250</xdr:rowOff>
    </xdr:from>
    <xdr:to>
      <xdr:col>12</xdr:col>
      <xdr:colOff>323850</xdr:colOff>
      <xdr:row>26</xdr:row>
      <xdr:rowOff>114300</xdr:rowOff>
    </xdr:to>
    <xdr:sp macro="" textlink="">
      <xdr:nvSpPr>
        <xdr:cNvPr id="13" name="Cloud 12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/>
      </xdr:nvSpPr>
      <xdr:spPr>
        <a:xfrm>
          <a:off x="5857875" y="4095750"/>
          <a:ext cx="1828800" cy="971550"/>
        </a:xfrm>
        <a:prstGeom prst="cloud">
          <a:avLst/>
        </a:prstGeom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lang="en-GB" sz="1100" b="1"/>
        </a:p>
        <a:p>
          <a:pPr algn="ctr"/>
          <a:r>
            <a:rPr lang="en-GB" sz="1600" b="1" baseline="0"/>
            <a:t>CÔNG</a:t>
          </a:r>
          <a:endParaRPr lang="en-GB" sz="1600" b="1"/>
        </a:p>
      </xdr:txBody>
    </xdr:sp>
    <xdr:clientData/>
  </xdr:twoCellAnchor>
  <xdr:twoCellAnchor>
    <xdr:from>
      <xdr:col>15</xdr:col>
      <xdr:colOff>419101</xdr:colOff>
      <xdr:row>12</xdr:row>
      <xdr:rowOff>9525</xdr:rowOff>
    </xdr:from>
    <xdr:to>
      <xdr:col>18</xdr:col>
      <xdr:colOff>400051</xdr:colOff>
      <xdr:row>18</xdr:row>
      <xdr:rowOff>47625</xdr:rowOff>
    </xdr:to>
    <xdr:sp macro="" textlink="">
      <xdr:nvSpPr>
        <xdr:cNvPr id="4" name="Cloud 3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9610726" y="2295525"/>
          <a:ext cx="1809750" cy="1181100"/>
        </a:xfrm>
        <a:prstGeom prst="cloud">
          <a:avLst/>
        </a:prstGeom>
      </xdr:spPr>
      <xdr:style>
        <a:lnRef idx="3">
          <a:schemeClr val="lt1"/>
        </a:lnRef>
        <a:fillRef idx="1">
          <a:schemeClr val="accent6"/>
        </a:fillRef>
        <a:effectRef idx="1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GB" sz="1400" b="1">
              <a:solidFill>
                <a:schemeClr val="tx1"/>
              </a:solidFill>
            </a:rPr>
            <a:t>BÁO</a:t>
          </a:r>
          <a:r>
            <a:rPr lang="en-GB" sz="1400" b="1" baseline="0">
              <a:solidFill>
                <a:schemeClr val="tx1"/>
              </a:solidFill>
            </a:rPr>
            <a:t> CÁO XUẤT NHẬP TỒN </a:t>
          </a:r>
          <a:endParaRPr lang="en-GB" sz="1400" b="1">
            <a:solidFill>
              <a:schemeClr val="tx1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19050</xdr:colOff>
      <xdr:row>3</xdr:row>
      <xdr:rowOff>180975</xdr:rowOff>
    </xdr:from>
    <xdr:to>
      <xdr:col>9</xdr:col>
      <xdr:colOff>9525</xdr:colOff>
      <xdr:row>6</xdr:row>
      <xdr:rowOff>9525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/>
      </xdr:nvSpPr>
      <xdr:spPr>
        <a:xfrm>
          <a:off x="4857750" y="752475"/>
          <a:ext cx="1209675" cy="4476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400" b="1">
              <a:solidFill>
                <a:srgbClr val="FF0000"/>
              </a:solidFill>
            </a:rPr>
            <a:t>NHẬP</a:t>
          </a:r>
          <a:r>
            <a:rPr lang="en-GB" sz="1400" b="1" baseline="0">
              <a:solidFill>
                <a:srgbClr val="FF0000"/>
              </a:solidFill>
            </a:rPr>
            <a:t> MỚI</a:t>
          </a:r>
          <a:endParaRPr lang="en-GB" sz="1400" b="1">
            <a:solidFill>
              <a:srgbClr val="FF0000"/>
            </a:solidFill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B5:H16" totalsRowShown="0" headerRowDxfId="50" headerRowBorderDxfId="49" tableBorderDxfId="48" totalsRowBorderDxfId="47">
  <autoFilter ref="B5:H16" xr:uid="{00000000-0009-0000-0100-000001000000}"/>
  <tableColumns count="7">
    <tableColumn id="1" xr3:uid="{00000000-0010-0000-0000-000001000000}" name="STT" dataDxfId="46"/>
    <tableColumn id="2" xr3:uid="{00000000-0010-0000-0000-000002000000}" name="MÃ NV" dataDxfId="45"/>
    <tableColumn id="3" xr3:uid="{00000000-0010-0000-0000-000003000000}" name="HỌ VÀ TÊN" dataDxfId="44"/>
    <tableColumn id="4" xr3:uid="{00000000-0010-0000-0000-000004000000}" name="NGÀY SINH" dataDxfId="43"/>
    <tableColumn id="5" xr3:uid="{00000000-0010-0000-0000-000005000000}" name="QUÊ QUÁN" dataDxfId="42"/>
    <tableColumn id="6" xr3:uid="{00000000-0010-0000-0000-000006000000}" name="NGÀY VÀO LÀM " dataDxfId="41"/>
    <tableColumn id="7" xr3:uid="{00000000-0010-0000-0000-000007000000}" name="CHỨC VỤ" dataDxfId="40">
      <calculatedColumnFormula>RIGHT(C6,2)</calculatedColumnFormula>
    </tableColumn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1000000}" name="Table10" displayName="Table10" ref="B5:E36" totalsRowShown="0" headerRowBorderDxfId="39" tableBorderDxfId="38" totalsRowBorderDxfId="37">
  <autoFilter ref="B5:E36" xr:uid="{00000000-0009-0000-0100-00000A000000}"/>
  <tableColumns count="4">
    <tableColumn id="1" xr3:uid="{00000000-0010-0000-0100-000001000000}" name="STT" dataDxfId="36">
      <calculatedColumnFormula>IF(C6="","",SUBTOTAL(103,$C$6:C6))</calculatedColumnFormula>
    </tableColumn>
    <tableColumn id="2" xr3:uid="{00000000-0010-0000-0100-000002000000}" name="TÊN HÀNG" dataDxfId="35"/>
    <tableColumn id="3" xr3:uid="{00000000-0010-0000-0100-000003000000}" name="MÃ HÀNG" dataDxfId="34"/>
    <tableColumn id="4" xr3:uid="{00000000-0010-0000-0100-000004000000}" name="ĐVT" dataDxfId="33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2000000}" name="Table11" displayName="Table11" ref="D9:L41" totalsRowShown="0" headerRowDxfId="32" headerRowBorderDxfId="31" tableBorderDxfId="30" totalsRowBorderDxfId="29">
  <autoFilter ref="D9:L41" xr:uid="{00000000-0009-0000-0100-00000B000000}"/>
  <tableColumns count="9">
    <tableColumn id="1" xr3:uid="{00000000-0010-0000-0200-000001000000}" name="STT" dataDxfId="28"/>
    <tableColumn id="2" xr3:uid="{00000000-0010-0000-0200-000002000000}" name="TÊN HÀNG" dataDxfId="27"/>
    <tableColumn id="3" xr3:uid="{00000000-0010-0000-0200-000003000000}" name="MÃ HÀNG" dataDxfId="26"/>
    <tableColumn id="4" xr3:uid="{00000000-0010-0000-0200-000004000000}" name="SL" dataDxfId="25"/>
    <tableColumn id="5" xr3:uid="{00000000-0010-0000-0200-000005000000}" name="ĐVT" dataDxfId="24"/>
    <tableColumn id="6" xr3:uid="{00000000-0010-0000-0200-000006000000}" name="ĐƠN GIÁ" dataDxfId="23"/>
    <tableColumn id="7" xr3:uid="{00000000-0010-0000-0200-000007000000}" name="LOẠI PHIẾU " dataDxfId="22"/>
    <tableColumn id="8" xr3:uid="{00000000-0010-0000-0200-000008000000}" name="THÀNH TIỀN" dataDxfId="21"/>
    <tableColumn id="9" xr3:uid="{00000000-0010-0000-0200-000009000000}" name="GHI CHÚ " dataDxfId="20"/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3000000}" name="Table12" displayName="Table12" ref="D9:L41" totalsRowShown="0" headerRowDxfId="19" headerRowBorderDxfId="18" tableBorderDxfId="17" totalsRowBorderDxfId="16">
  <autoFilter ref="D9:L41" xr:uid="{00000000-0009-0000-0100-00000C000000}"/>
  <tableColumns count="9">
    <tableColumn id="1" xr3:uid="{00000000-0010-0000-0300-000001000000}" name="STT" dataDxfId="15"/>
    <tableColumn id="2" xr3:uid="{00000000-0010-0000-0300-000002000000}" name="MÃ HÀNG" dataDxfId="14"/>
    <tableColumn id="3" xr3:uid="{00000000-0010-0000-0300-000003000000}" name="TÊN HÀNG" dataDxfId="13"/>
    <tableColumn id="4" xr3:uid="{00000000-0010-0000-0300-000004000000}" name="SL" dataDxfId="12"/>
    <tableColumn id="5" xr3:uid="{00000000-0010-0000-0300-000005000000}" name="ĐVT" dataDxfId="11"/>
    <tableColumn id="6" xr3:uid="{00000000-0010-0000-0300-000006000000}" name="ĐƠN GIÁ" dataDxfId="10"/>
    <tableColumn id="7" xr3:uid="{00000000-0010-0000-0300-000007000000}" name="LOẠI PHIẾU" dataDxfId="9"/>
    <tableColumn id="8" xr3:uid="{00000000-0010-0000-0300-000008000000}" name="THÀNH TIỀN" dataDxfId="8"/>
    <tableColumn id="9" xr3:uid="{00000000-0010-0000-0300-000009000000}" name="GHI CHÚ " dataDxfId="7"/>
  </tableColumns>
  <tableStyleInfo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4000000}" name="Table13" displayName="Table13" ref="C5:F69" totalsRowShown="0" headerRowDxfId="6" headerRowBorderDxfId="5" tableBorderDxfId="4">
  <autoFilter ref="C5:F69" xr:uid="{00000000-0009-0000-0100-00000D000000}"/>
  <tableColumns count="4">
    <tableColumn id="1" xr3:uid="{00000000-0010-0000-0400-000001000000}" name="STT" dataDxfId="3"/>
    <tableColumn id="2" xr3:uid="{00000000-0010-0000-0400-000002000000}" name="TÊN SẢN PHẨM" dataDxfId="2"/>
    <tableColumn id="3" xr3:uid="{00000000-0010-0000-0400-000003000000}" name="SIZE" dataDxfId="1"/>
    <tableColumn id="4" xr3:uid="{00000000-0010-0000-0400-000004000000}" name="GIÁ TIỀ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B1:N7"/>
  <sheetViews>
    <sheetView workbookViewId="0"/>
  </sheetViews>
  <sheetFormatPr defaultRowHeight="15"/>
  <cols>
    <col min="3" max="3" width="8.625" customWidth="1"/>
    <col min="9" max="9" width="10.375" customWidth="1"/>
  </cols>
  <sheetData>
    <row r="1" spans="2:14" ht="15" customHeight="1">
      <c r="E1" s="32"/>
      <c r="F1" s="32"/>
      <c r="G1" s="32"/>
      <c r="H1" s="6"/>
      <c r="J1" s="92" t="s">
        <v>170</v>
      </c>
      <c r="K1" s="93"/>
      <c r="L1" s="93"/>
    </row>
    <row r="2" spans="2:14" ht="15" customHeight="1">
      <c r="C2" s="33"/>
      <c r="D2" s="33"/>
      <c r="E2" s="32"/>
      <c r="F2" s="32"/>
      <c r="G2" s="32"/>
      <c r="H2" s="94" t="s">
        <v>183</v>
      </c>
      <c r="I2" s="94"/>
      <c r="J2" s="93"/>
      <c r="K2" s="93"/>
      <c r="L2" s="93"/>
    </row>
    <row r="3" spans="2:14" ht="15" customHeight="1">
      <c r="C3" s="33"/>
      <c r="D3" s="33"/>
      <c r="E3" s="32"/>
      <c r="F3" s="32"/>
      <c r="G3" s="32"/>
      <c r="H3" s="94"/>
      <c r="I3" s="94"/>
      <c r="J3" s="93"/>
      <c r="K3" s="93"/>
      <c r="L3" s="93"/>
    </row>
    <row r="4" spans="2:14">
      <c r="B4" s="25"/>
      <c r="C4" s="25"/>
      <c r="D4" s="25"/>
      <c r="E4" s="25"/>
      <c r="F4" s="25"/>
      <c r="G4" s="95" t="s">
        <v>184</v>
      </c>
      <c r="H4" s="95"/>
      <c r="I4" s="95"/>
      <c r="J4" s="95"/>
      <c r="K4" s="95"/>
      <c r="L4" s="95"/>
      <c r="M4" s="95"/>
      <c r="N4" s="95"/>
    </row>
    <row r="6" spans="2:14">
      <c r="I6" s="90" t="s">
        <v>187</v>
      </c>
      <c r="J6" s="90"/>
      <c r="K6" s="91" t="s">
        <v>185</v>
      </c>
      <c r="L6" s="91"/>
      <c r="M6" s="91"/>
    </row>
    <row r="7" spans="2:14">
      <c r="K7" s="91" t="s">
        <v>186</v>
      </c>
      <c r="L7" s="91"/>
      <c r="M7" s="91"/>
    </row>
  </sheetData>
  <mergeCells count="6">
    <mergeCell ref="I6:J6"/>
    <mergeCell ref="K6:M6"/>
    <mergeCell ref="K7:M7"/>
    <mergeCell ref="J1:L3"/>
    <mergeCell ref="H2:I3"/>
    <mergeCell ref="G4:N4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B2:L16"/>
  <sheetViews>
    <sheetView workbookViewId="0">
      <selection activeCell="D9" sqref="D9"/>
    </sheetView>
  </sheetViews>
  <sheetFormatPr defaultRowHeight="15"/>
  <cols>
    <col min="2" max="2" width="6.125" customWidth="1"/>
    <col min="3" max="3" width="9.375" customWidth="1"/>
    <col min="4" max="4" width="19.125" bestFit="1" customWidth="1"/>
    <col min="5" max="5" width="13.125" style="3" customWidth="1"/>
    <col min="6" max="6" width="13" customWidth="1"/>
    <col min="7" max="7" width="17.75" customWidth="1"/>
    <col min="8" max="8" width="11.375" customWidth="1"/>
  </cols>
  <sheetData>
    <row r="2" spans="2:12">
      <c r="C2" s="98" t="s">
        <v>0</v>
      </c>
      <c r="D2" s="98"/>
      <c r="E2" s="98"/>
      <c r="F2" s="98"/>
      <c r="G2" s="98"/>
      <c r="K2" s="99" t="s">
        <v>180</v>
      </c>
      <c r="L2" s="99"/>
    </row>
    <row r="3" spans="2:12">
      <c r="C3" s="98"/>
      <c r="D3" s="98"/>
      <c r="E3" s="98"/>
      <c r="F3" s="98"/>
      <c r="G3" s="98"/>
      <c r="H3" s="12"/>
      <c r="K3" s="99"/>
      <c r="L3" s="99"/>
    </row>
    <row r="5" spans="2:12" ht="30" customHeight="1">
      <c r="B5" s="52" t="s">
        <v>1</v>
      </c>
      <c r="C5" s="53" t="s">
        <v>2</v>
      </c>
      <c r="D5" s="53" t="s">
        <v>3</v>
      </c>
      <c r="E5" s="54" t="s">
        <v>4</v>
      </c>
      <c r="F5" s="53" t="s">
        <v>5</v>
      </c>
      <c r="G5" s="53" t="s">
        <v>6</v>
      </c>
      <c r="H5" s="55" t="s">
        <v>7</v>
      </c>
    </row>
    <row r="6" spans="2:12">
      <c r="B6" s="46">
        <v>1</v>
      </c>
      <c r="C6" s="7" t="s">
        <v>52</v>
      </c>
      <c r="D6" s="2" t="s">
        <v>8</v>
      </c>
      <c r="E6" s="4">
        <v>32874</v>
      </c>
      <c r="F6" s="7" t="s">
        <v>19</v>
      </c>
      <c r="G6" s="4">
        <v>42005</v>
      </c>
      <c r="H6" s="44" t="str">
        <f>RIGHT(C6,2)</f>
        <v>TN</v>
      </c>
      <c r="K6" s="96" t="s">
        <v>62</v>
      </c>
      <c r="L6" s="97"/>
    </row>
    <row r="7" spans="2:12">
      <c r="B7" s="46">
        <v>2</v>
      </c>
      <c r="C7" s="7" t="s">
        <v>54</v>
      </c>
      <c r="D7" s="2" t="s">
        <v>11</v>
      </c>
      <c r="E7" s="4">
        <v>33454</v>
      </c>
      <c r="F7" s="7" t="s">
        <v>20</v>
      </c>
      <c r="G7" s="4">
        <v>42005</v>
      </c>
      <c r="H7" s="44" t="str">
        <f t="shared" ref="H7:H16" si="0">RIGHT(C7,2)</f>
        <v>PC</v>
      </c>
      <c r="K7" s="7" t="s">
        <v>63</v>
      </c>
      <c r="L7" s="7" t="s">
        <v>64</v>
      </c>
    </row>
    <row r="8" spans="2:12">
      <c r="B8" s="46">
        <v>3</v>
      </c>
      <c r="C8" s="7" t="s">
        <v>55</v>
      </c>
      <c r="D8" s="2" t="s">
        <v>10</v>
      </c>
      <c r="E8" s="4">
        <v>34792</v>
      </c>
      <c r="F8" s="7" t="s">
        <v>20</v>
      </c>
      <c r="G8" s="4">
        <v>42773</v>
      </c>
      <c r="H8" s="44" t="str">
        <f t="shared" si="0"/>
        <v>PC</v>
      </c>
      <c r="K8" s="7" t="s">
        <v>65</v>
      </c>
      <c r="L8" s="7" t="s">
        <v>66</v>
      </c>
    </row>
    <row r="9" spans="2:12">
      <c r="B9" s="46">
        <v>4</v>
      </c>
      <c r="C9" s="7" t="s">
        <v>56</v>
      </c>
      <c r="D9" s="2" t="s">
        <v>9</v>
      </c>
      <c r="E9" s="4">
        <v>34877</v>
      </c>
      <c r="F9" s="7" t="s">
        <v>21</v>
      </c>
      <c r="G9" s="4">
        <v>42773</v>
      </c>
      <c r="H9" s="44" t="str">
        <f t="shared" si="0"/>
        <v>PC</v>
      </c>
      <c r="K9" s="7" t="s">
        <v>67</v>
      </c>
      <c r="L9" s="7" t="s">
        <v>68</v>
      </c>
    </row>
    <row r="10" spans="2:12">
      <c r="B10" s="46">
        <v>5</v>
      </c>
      <c r="C10" s="7" t="s">
        <v>57</v>
      </c>
      <c r="D10" s="2" t="s">
        <v>12</v>
      </c>
      <c r="E10" s="4">
        <v>35766</v>
      </c>
      <c r="F10" s="7" t="s">
        <v>22</v>
      </c>
      <c r="G10" s="4">
        <v>42739</v>
      </c>
      <c r="H10" s="44" t="str">
        <f t="shared" si="0"/>
        <v>PC</v>
      </c>
      <c r="K10" s="7" t="s">
        <v>69</v>
      </c>
      <c r="L10" s="7" t="s">
        <v>70</v>
      </c>
    </row>
    <row r="11" spans="2:12">
      <c r="B11" s="46">
        <v>6</v>
      </c>
      <c r="C11" s="7" t="s">
        <v>58</v>
      </c>
      <c r="D11" s="2" t="s">
        <v>13</v>
      </c>
      <c r="E11" s="4">
        <v>36092</v>
      </c>
      <c r="F11" s="7" t="s">
        <v>23</v>
      </c>
      <c r="G11" s="4">
        <v>43106</v>
      </c>
      <c r="H11" s="44" t="str">
        <f t="shared" si="0"/>
        <v>PV</v>
      </c>
    </row>
    <row r="12" spans="2:12">
      <c r="B12" s="46">
        <v>7</v>
      </c>
      <c r="C12" s="7" t="s">
        <v>59</v>
      </c>
      <c r="D12" s="2" t="s">
        <v>14</v>
      </c>
      <c r="E12" s="4">
        <v>35915</v>
      </c>
      <c r="F12" s="7" t="s">
        <v>24</v>
      </c>
      <c r="G12" s="4">
        <v>43106</v>
      </c>
      <c r="H12" s="44" t="str">
        <f t="shared" si="0"/>
        <v>PV</v>
      </c>
    </row>
    <row r="13" spans="2:12">
      <c r="B13" s="46">
        <v>8</v>
      </c>
      <c r="C13" s="7" t="s">
        <v>60</v>
      </c>
      <c r="D13" s="2" t="s">
        <v>15</v>
      </c>
      <c r="E13" s="4">
        <v>36371</v>
      </c>
      <c r="F13" s="7" t="s">
        <v>24</v>
      </c>
      <c r="G13" s="4">
        <v>43106</v>
      </c>
      <c r="H13" s="44" t="str">
        <f t="shared" si="0"/>
        <v>PV</v>
      </c>
    </row>
    <row r="14" spans="2:12">
      <c r="B14" s="46">
        <v>9</v>
      </c>
      <c r="C14" s="7" t="s">
        <v>72</v>
      </c>
      <c r="D14" s="2" t="s">
        <v>16</v>
      </c>
      <c r="E14" s="4">
        <v>36447</v>
      </c>
      <c r="F14" s="7" t="s">
        <v>25</v>
      </c>
      <c r="G14" s="4">
        <v>43106</v>
      </c>
      <c r="H14" s="44" t="str">
        <f t="shared" si="0"/>
        <v>TN</v>
      </c>
    </row>
    <row r="15" spans="2:12">
      <c r="B15" s="46">
        <v>10</v>
      </c>
      <c r="C15" s="7" t="s">
        <v>61</v>
      </c>
      <c r="D15" s="2" t="s">
        <v>17</v>
      </c>
      <c r="E15" s="4">
        <v>35041</v>
      </c>
      <c r="F15" s="7" t="s">
        <v>19</v>
      </c>
      <c r="G15" s="4">
        <v>43008</v>
      </c>
      <c r="H15" s="44" t="str">
        <f t="shared" si="0"/>
        <v>BV</v>
      </c>
    </row>
    <row r="16" spans="2:12">
      <c r="B16" s="56">
        <v>11</v>
      </c>
      <c r="C16" s="57" t="s">
        <v>53</v>
      </c>
      <c r="D16" s="58" t="s">
        <v>18</v>
      </c>
      <c r="E16" s="59">
        <v>35498</v>
      </c>
      <c r="F16" s="57" t="s">
        <v>19</v>
      </c>
      <c r="G16" s="59">
        <v>42005</v>
      </c>
      <c r="H16" s="60" t="str">
        <f t="shared" si="0"/>
        <v>BV</v>
      </c>
    </row>
  </sheetData>
  <mergeCells count="3">
    <mergeCell ref="K6:L6"/>
    <mergeCell ref="C2:G3"/>
    <mergeCell ref="K2:L3"/>
  </mergeCells>
  <dataValidations count="1">
    <dataValidation allowBlank="1" showInputMessage="1" showErrorMessage="1" errorTitle="Error" sqref="C6:C16" xr:uid="{00000000-0002-0000-0100-000000000000}"/>
  </dataValidations>
  <hyperlinks>
    <hyperlink ref="K2:L3" location="MENU!A1" display="MENU" xr:uid="{00000000-0004-0000-0100-000000000000}"/>
  </hyperlink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B2:AT28"/>
  <sheetViews>
    <sheetView zoomScaleNormal="100" workbookViewId="0">
      <selection activeCell="AR12" sqref="AR12"/>
    </sheetView>
  </sheetViews>
  <sheetFormatPr defaultRowHeight="15"/>
  <cols>
    <col min="2" max="2" width="4" bestFit="1" customWidth="1"/>
    <col min="3" max="3" width="7.875" bestFit="1" customWidth="1"/>
    <col min="4" max="4" width="19.125" bestFit="1" customWidth="1"/>
    <col min="5" max="10" width="3.75" bestFit="1" customWidth="1"/>
    <col min="11" max="11" width="4.875" bestFit="1" customWidth="1"/>
    <col min="12" max="25" width="3.75" bestFit="1" customWidth="1"/>
    <col min="26" max="39" width="3.875" customWidth="1"/>
    <col min="40" max="40" width="3.625" customWidth="1"/>
    <col min="41" max="41" width="10.125" customWidth="1"/>
    <col min="42" max="43" width="12.75" customWidth="1"/>
    <col min="44" max="44" width="14.375" customWidth="1"/>
    <col min="45" max="45" width="11.75" customWidth="1"/>
    <col min="46" max="46" width="13.75" customWidth="1"/>
  </cols>
  <sheetData>
    <row r="2" spans="2:46" ht="34.5" customHeight="1">
      <c r="C2" s="117" t="s">
        <v>26</v>
      </c>
      <c r="D2" s="117"/>
      <c r="E2" s="6"/>
      <c r="F2" s="6"/>
      <c r="G2" s="6"/>
      <c r="H2" s="117" t="s">
        <v>275</v>
      </c>
      <c r="I2" s="117"/>
      <c r="J2" s="117"/>
      <c r="K2" s="117"/>
      <c r="L2" s="24"/>
      <c r="M2" s="99" t="s">
        <v>180</v>
      </c>
      <c r="N2" s="99"/>
      <c r="O2" s="99"/>
      <c r="P2" s="99"/>
      <c r="Q2" s="24"/>
    </row>
    <row r="3" spans="2:46">
      <c r="C3" t="s">
        <v>29</v>
      </c>
      <c r="D3">
        <v>2</v>
      </c>
      <c r="H3" s="5"/>
      <c r="I3" s="5"/>
      <c r="J3" s="1"/>
      <c r="L3" s="5"/>
      <c r="M3" s="5"/>
      <c r="N3" s="1"/>
      <c r="P3" s="5"/>
      <c r="Q3" s="1"/>
      <c r="S3" s="1"/>
      <c r="W3" s="5"/>
      <c r="X3" s="5"/>
      <c r="Y3" s="5"/>
      <c r="Z3" s="5"/>
      <c r="AA3" s="5"/>
    </row>
    <row r="4" spans="2:46">
      <c r="C4" t="s">
        <v>28</v>
      </c>
      <c r="D4">
        <v>2018</v>
      </c>
      <c r="H4" s="5"/>
      <c r="I4" s="5"/>
      <c r="J4" s="1"/>
      <c r="L4" s="5"/>
      <c r="M4" s="5"/>
      <c r="N4" s="1"/>
      <c r="O4" s="5"/>
      <c r="P4" s="5"/>
      <c r="Q4" s="5"/>
      <c r="U4" s="5"/>
      <c r="V4" s="5"/>
      <c r="W4" s="5"/>
    </row>
    <row r="5" spans="2:46">
      <c r="H5" s="5"/>
      <c r="I5" s="5"/>
      <c r="J5" s="1"/>
    </row>
    <row r="8" spans="2:46" ht="15" customHeight="1">
      <c r="B8" s="100" t="str">
        <f>DSNV!B5</f>
        <v>STT</v>
      </c>
      <c r="C8" s="100" t="str">
        <f>DSNV!C5</f>
        <v>MÃ NV</v>
      </c>
      <c r="D8" s="103" t="str">
        <f>DSNV!D5</f>
        <v>HỌ VÀ TÊN</v>
      </c>
      <c r="E8" s="118" t="s">
        <v>27</v>
      </c>
      <c r="F8" s="119"/>
      <c r="G8" s="119"/>
      <c r="H8" s="119"/>
      <c r="I8" s="119"/>
      <c r="J8" s="119"/>
      <c r="K8" s="119"/>
      <c r="L8" s="119"/>
      <c r="M8" s="119"/>
      <c r="N8" s="119"/>
      <c r="O8" s="119"/>
      <c r="P8" s="119"/>
      <c r="Q8" s="119"/>
      <c r="R8" s="119"/>
      <c r="S8" s="119"/>
      <c r="T8" s="119"/>
      <c r="U8" s="119"/>
      <c r="V8" s="119"/>
      <c r="W8" s="119"/>
      <c r="X8" s="119"/>
      <c r="Y8" s="119"/>
      <c r="Z8" s="119"/>
      <c r="AA8" s="119"/>
      <c r="AB8" s="119"/>
      <c r="AC8" s="119"/>
      <c r="AD8" s="119"/>
      <c r="AE8" s="119"/>
      <c r="AF8" s="119"/>
      <c r="AG8" s="119"/>
      <c r="AH8" s="119"/>
      <c r="AI8" s="120"/>
      <c r="AJ8" s="114" t="s">
        <v>50</v>
      </c>
      <c r="AK8" s="115"/>
      <c r="AL8" s="115"/>
      <c r="AM8" s="115"/>
      <c r="AN8" s="115"/>
      <c r="AO8" s="111" t="s">
        <v>44</v>
      </c>
      <c r="AP8" s="100" t="s">
        <v>48</v>
      </c>
      <c r="AQ8" s="100" t="s">
        <v>79</v>
      </c>
      <c r="AR8" s="103" t="s">
        <v>49</v>
      </c>
      <c r="AS8" s="103" t="s">
        <v>80</v>
      </c>
      <c r="AT8" s="103" t="s">
        <v>81</v>
      </c>
    </row>
    <row r="9" spans="2:46" ht="15" customHeight="1">
      <c r="B9" s="101"/>
      <c r="C9" s="101"/>
      <c r="D9" s="103"/>
      <c r="E9" s="13">
        <f>DATE(Nam,$D$3,DAY(1))</f>
        <v>43132</v>
      </c>
      <c r="F9" s="13">
        <f t="shared" ref="F9:AE9" si="0">DATE(Nam,$D$3,DAY(E9)+1)</f>
        <v>43133</v>
      </c>
      <c r="G9" s="13">
        <f t="shared" si="0"/>
        <v>43134</v>
      </c>
      <c r="H9" s="13">
        <f t="shared" si="0"/>
        <v>43135</v>
      </c>
      <c r="I9" s="13">
        <f t="shared" si="0"/>
        <v>43136</v>
      </c>
      <c r="J9" s="13">
        <f t="shared" si="0"/>
        <v>43137</v>
      </c>
      <c r="K9" s="13">
        <f t="shared" si="0"/>
        <v>43138</v>
      </c>
      <c r="L9" s="13">
        <f t="shared" si="0"/>
        <v>43139</v>
      </c>
      <c r="M9" s="13">
        <f t="shared" si="0"/>
        <v>43140</v>
      </c>
      <c r="N9" s="13">
        <f t="shared" si="0"/>
        <v>43141</v>
      </c>
      <c r="O9" s="13">
        <f t="shared" si="0"/>
        <v>43142</v>
      </c>
      <c r="P9" s="13">
        <f t="shared" si="0"/>
        <v>43143</v>
      </c>
      <c r="Q9" s="13">
        <f t="shared" si="0"/>
        <v>43144</v>
      </c>
      <c r="R9" s="13">
        <f t="shared" si="0"/>
        <v>43145</v>
      </c>
      <c r="S9" s="13">
        <f t="shared" si="0"/>
        <v>43146</v>
      </c>
      <c r="T9" s="13">
        <f t="shared" si="0"/>
        <v>43147</v>
      </c>
      <c r="U9" s="13">
        <f t="shared" si="0"/>
        <v>43148</v>
      </c>
      <c r="V9" s="13">
        <f t="shared" si="0"/>
        <v>43149</v>
      </c>
      <c r="W9" s="13">
        <f t="shared" si="0"/>
        <v>43150</v>
      </c>
      <c r="X9" s="13">
        <f t="shared" si="0"/>
        <v>43151</v>
      </c>
      <c r="Y9" s="13">
        <f t="shared" si="0"/>
        <v>43152</v>
      </c>
      <c r="Z9" s="13">
        <f t="shared" si="0"/>
        <v>43153</v>
      </c>
      <c r="AA9" s="13">
        <f t="shared" si="0"/>
        <v>43154</v>
      </c>
      <c r="AB9" s="13">
        <f t="shared" si="0"/>
        <v>43155</v>
      </c>
      <c r="AC9" s="13">
        <f t="shared" si="0"/>
        <v>43156</v>
      </c>
      <c r="AD9" s="13">
        <f t="shared" si="0"/>
        <v>43157</v>
      </c>
      <c r="AE9" s="13">
        <f t="shared" si="0"/>
        <v>43158</v>
      </c>
      <c r="AF9" s="13">
        <f>DATE(Nam,$D$3,DAY(AE9)+1)</f>
        <v>43159</v>
      </c>
      <c r="AG9" s="13" t="str">
        <f>IF(thang &lt;&gt; 2,DATE(Nam,$D$3,DAY(AF9)+1),IF(thang &lt;&gt; AND(2,4,6,9,11)," ",DAY(AF9)+1))</f>
        <v xml:space="preserve"> </v>
      </c>
      <c r="AH9" s="13" t="str">
        <f>IF(thang &lt;&gt; 2,DATE(Nam,$D$3,DAY(AG9)+1),IF(thang &lt;&gt; AND(2,4,6,9,11)," ",DAY(AG9)+1))</f>
        <v xml:space="preserve"> </v>
      </c>
      <c r="AI9" s="13" t="str">
        <f>IF(AND(thang&lt;&gt;2,thang&lt;&gt;4,thang&lt;&gt;6,thang&lt;&gt;9,thang&lt;&gt;11),DATE(Nam,$D$3,DAY(AH9)+1)," ")</f>
        <v xml:space="preserve"> </v>
      </c>
      <c r="AJ9" s="108" t="s">
        <v>30</v>
      </c>
      <c r="AK9" s="108" t="s">
        <v>73</v>
      </c>
      <c r="AL9" s="108" t="s">
        <v>31</v>
      </c>
      <c r="AM9" s="108" t="s">
        <v>32</v>
      </c>
      <c r="AN9" s="108" t="s">
        <v>43</v>
      </c>
      <c r="AO9" s="112"/>
      <c r="AP9" s="101"/>
      <c r="AQ9" s="101"/>
      <c r="AR9" s="103"/>
      <c r="AS9" s="103"/>
      <c r="AT9" s="103"/>
    </row>
    <row r="10" spans="2:46" ht="54.75" customHeight="1">
      <c r="B10" s="102"/>
      <c r="C10" s="102"/>
      <c r="D10" s="103"/>
      <c r="E10" s="9" t="str">
        <f>CHOOSE(WEEKDAY(E9),"Chủ nhật","Thứ 2","Thứ 3","Thứ 4","Thứ 5","Thứ 6","Thứ 7")</f>
        <v>Thứ 5</v>
      </c>
      <c r="F10" s="8" t="str">
        <f t="shared" ref="F10:AF10" si="1">CHOOSE(WEEKDAY(F9),"Chủ nhật","Thứ 2","Thứ 3","Thứ 4","Thứ 5","Thứ 6","Thứ 7")</f>
        <v>Thứ 6</v>
      </c>
      <c r="G10" s="8" t="str">
        <f t="shared" si="1"/>
        <v>Thứ 7</v>
      </c>
      <c r="H10" s="8" t="str">
        <f t="shared" si="1"/>
        <v>Chủ nhật</v>
      </c>
      <c r="I10" s="8" t="str">
        <f t="shared" si="1"/>
        <v>Thứ 2</v>
      </c>
      <c r="J10" s="8" t="str">
        <f t="shared" si="1"/>
        <v>Thứ 3</v>
      </c>
      <c r="K10" s="8" t="str">
        <f t="shared" si="1"/>
        <v>Thứ 4</v>
      </c>
      <c r="L10" s="8" t="str">
        <f t="shared" si="1"/>
        <v>Thứ 5</v>
      </c>
      <c r="M10" s="8" t="str">
        <f t="shared" si="1"/>
        <v>Thứ 6</v>
      </c>
      <c r="N10" s="8" t="str">
        <f t="shared" si="1"/>
        <v>Thứ 7</v>
      </c>
      <c r="O10" s="8" t="str">
        <f t="shared" si="1"/>
        <v>Chủ nhật</v>
      </c>
      <c r="P10" s="8" t="str">
        <f t="shared" si="1"/>
        <v>Thứ 2</v>
      </c>
      <c r="Q10" s="8" t="str">
        <f t="shared" si="1"/>
        <v>Thứ 3</v>
      </c>
      <c r="R10" s="8" t="str">
        <f t="shared" si="1"/>
        <v>Thứ 4</v>
      </c>
      <c r="S10" s="8" t="str">
        <f t="shared" si="1"/>
        <v>Thứ 5</v>
      </c>
      <c r="T10" s="8" t="str">
        <f t="shared" si="1"/>
        <v>Thứ 6</v>
      </c>
      <c r="U10" s="8" t="str">
        <f t="shared" si="1"/>
        <v>Thứ 7</v>
      </c>
      <c r="V10" s="8" t="str">
        <f t="shared" si="1"/>
        <v>Chủ nhật</v>
      </c>
      <c r="W10" s="8" t="str">
        <f t="shared" si="1"/>
        <v>Thứ 2</v>
      </c>
      <c r="X10" s="8" t="str">
        <f t="shared" si="1"/>
        <v>Thứ 3</v>
      </c>
      <c r="Y10" s="8" t="str">
        <f t="shared" si="1"/>
        <v>Thứ 4</v>
      </c>
      <c r="Z10" s="8" t="str">
        <f t="shared" si="1"/>
        <v>Thứ 5</v>
      </c>
      <c r="AA10" s="8" t="str">
        <f t="shared" si="1"/>
        <v>Thứ 6</v>
      </c>
      <c r="AB10" s="8" t="str">
        <f t="shared" si="1"/>
        <v>Thứ 7</v>
      </c>
      <c r="AC10" s="8" t="str">
        <f t="shared" si="1"/>
        <v>Chủ nhật</v>
      </c>
      <c r="AD10" s="8" t="str">
        <f t="shared" si="1"/>
        <v>Thứ 2</v>
      </c>
      <c r="AE10" s="8" t="str">
        <f t="shared" si="1"/>
        <v>Thứ 3</v>
      </c>
      <c r="AF10" s="8" t="str">
        <f t="shared" si="1"/>
        <v>Thứ 4</v>
      </c>
      <c r="AG10" s="11" t="str">
        <f>IF(AND(AG9&gt;28,AG9&lt;&gt;" "),CHOOSE(WEEKDAY(AG9),"Chủ nhật","Thứ 2","Thứ 3","Thứ 4","Thứ 5","Thứ 6","Thứ 7")," ")</f>
        <v xml:space="preserve"> </v>
      </c>
      <c r="AH10" s="11" t="str">
        <f>IF(AND(AH9&gt;28,AH9&lt;&gt;" "),CHOOSE(WEEKDAY(AH9),"Chủ nhật","Thứ 2","Thứ 3","Thứ 4","Thứ 5","Thứ 6","Thứ 7")," ")</f>
        <v xml:space="preserve"> </v>
      </c>
      <c r="AI10" s="11" t="str">
        <f>IF(AI9&lt;&gt;" ",CHOOSE(WEEKDAY(AI9),"Chủ nhật","Thứ 2","Thứ 3","Thứ 4","Thứ 5","Thứ 6","Thứ 7")," ")</f>
        <v xml:space="preserve"> </v>
      </c>
      <c r="AJ10" s="109"/>
      <c r="AK10" s="109"/>
      <c r="AL10" s="109"/>
      <c r="AM10" s="109"/>
      <c r="AN10" s="109"/>
      <c r="AO10" s="113"/>
      <c r="AP10" s="102"/>
      <c r="AQ10" s="102"/>
      <c r="AR10" s="103"/>
      <c r="AS10" s="103"/>
      <c r="AT10" s="103"/>
    </row>
    <row r="11" spans="2:46">
      <c r="B11" s="43">
        <f>DSNV!B6</f>
        <v>1</v>
      </c>
      <c r="C11" s="2" t="str">
        <f>DSNV!C6</f>
        <v>GC1TN</v>
      </c>
      <c r="D11" s="2" t="str">
        <f>DSNV!D6</f>
        <v>Nguyễn Ngọc Anh</v>
      </c>
      <c r="E11" s="2" t="s">
        <v>38</v>
      </c>
      <c r="F11" s="2" t="s">
        <v>38</v>
      </c>
      <c r="G11" s="2" t="s">
        <v>39</v>
      </c>
      <c r="H11" s="2" t="s">
        <v>40</v>
      </c>
      <c r="I11" s="2" t="s">
        <v>45</v>
      </c>
      <c r="J11" s="2"/>
      <c r="K11" s="16" t="s">
        <v>74</v>
      </c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>
        <f t="shared" ref="AJ11:AJ21" si="2">COUNTIF($E11:$AF11,N$24)</f>
        <v>2</v>
      </c>
      <c r="AK11" s="2">
        <f>COUNTIF($E11:$AF11,"1/2X")/2</f>
        <v>0.5</v>
      </c>
      <c r="AL11" s="2">
        <f t="shared" ref="AL11:AL21" si="3">COUNTIF($E11:$AF11,N$25)*2</f>
        <v>2</v>
      </c>
      <c r="AM11" s="2">
        <f t="shared" ref="AM11:AM21" si="4">COUNTIF($E11:$AF11,N$26)*2</f>
        <v>2</v>
      </c>
      <c r="AN11" s="2">
        <f t="shared" ref="AN11:AN21" si="5">COUNTIF($E11:$AF11,N$27)</f>
        <v>1</v>
      </c>
      <c r="AO11" s="7">
        <f>SUM(AJ11+AK11+AL11+AM11)</f>
        <v>6.5</v>
      </c>
      <c r="AP11" s="7">
        <f t="shared" ref="AP11:AP21" si="6">IF(RIGHT(C11,2)=$T$24,AO11*$V$24,IF(RIGHT(C11,2)=$T$25,AO11*$V$25,IF(RIGHT(C11,2)=$T$26,AO11*$V$26,AO11*$V$27)))</f>
        <v>520000</v>
      </c>
      <c r="AQ11" s="42">
        <f>IF(AND(AO11&lt;20,AO11&gt;0),0,IF(AND(AO11&gt;21,AO11&lt;25),50000,IF(AO11&gt;26,70000,0)))</f>
        <v>0</v>
      </c>
      <c r="AR11" s="2"/>
      <c r="AS11" s="2"/>
      <c r="AT11" s="2"/>
    </row>
    <row r="12" spans="2:46">
      <c r="B12" s="43">
        <f>DSNV!B7</f>
        <v>2</v>
      </c>
      <c r="C12" s="2" t="str">
        <f>DSNV!C7</f>
        <v>GC2PC</v>
      </c>
      <c r="D12" s="2" t="str">
        <f>DSNV!D7</f>
        <v>Nguyễn Bảo Bình</v>
      </c>
      <c r="E12" s="2" t="s">
        <v>38</v>
      </c>
      <c r="F12" s="2" t="s">
        <v>38</v>
      </c>
      <c r="G12" s="2"/>
      <c r="H12" s="2" t="s">
        <v>40</v>
      </c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>
        <f t="shared" si="2"/>
        <v>2</v>
      </c>
      <c r="AK12" s="2"/>
      <c r="AL12" s="2">
        <f t="shared" si="3"/>
        <v>0</v>
      </c>
      <c r="AM12" s="2">
        <f t="shared" si="4"/>
        <v>2</v>
      </c>
      <c r="AN12" s="2">
        <f t="shared" si="5"/>
        <v>0</v>
      </c>
      <c r="AO12" s="15">
        <v>22</v>
      </c>
      <c r="AP12" s="14">
        <f t="shared" si="6"/>
        <v>1320000</v>
      </c>
      <c r="AQ12" s="42">
        <f t="shared" ref="AQ12:AQ21" si="7">IF(AND(AO12&lt;20,AO12&gt;0),0,IF(AND(AO12&gt;21,AO12&lt;25),50000,IF(AO12&gt;26,70000,0)))</f>
        <v>50000</v>
      </c>
      <c r="AR12" s="2"/>
      <c r="AS12" s="2"/>
      <c r="AT12" s="2"/>
    </row>
    <row r="13" spans="2:46">
      <c r="B13" s="43">
        <f>DSNV!B8</f>
        <v>3</v>
      </c>
      <c r="C13" s="2" t="str">
        <f>DSNV!C8</f>
        <v>GC3PC</v>
      </c>
      <c r="D13" s="2" t="str">
        <f>DSNV!D8</f>
        <v>Hoàng Thị Chung</v>
      </c>
      <c r="E13" s="2" t="s">
        <v>38</v>
      </c>
      <c r="F13" s="2" t="s">
        <v>38</v>
      </c>
      <c r="G13" s="2" t="s">
        <v>45</v>
      </c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>
        <f t="shared" si="2"/>
        <v>2</v>
      </c>
      <c r="AK13" s="2"/>
      <c r="AL13" s="2">
        <f t="shared" si="3"/>
        <v>0</v>
      </c>
      <c r="AM13" s="2">
        <f t="shared" si="4"/>
        <v>0</v>
      </c>
      <c r="AN13" s="2">
        <f t="shared" si="5"/>
        <v>1</v>
      </c>
      <c r="AO13" s="15">
        <f t="shared" ref="AO13:AO21" si="8">SUM(AJ13+AK13+AL13+AM13)</f>
        <v>2</v>
      </c>
      <c r="AP13" s="14">
        <f t="shared" si="6"/>
        <v>120000</v>
      </c>
      <c r="AQ13" s="42">
        <f t="shared" si="7"/>
        <v>0</v>
      </c>
      <c r="AR13" s="2"/>
      <c r="AS13" s="2"/>
      <c r="AT13" s="2"/>
    </row>
    <row r="14" spans="2:46">
      <c r="B14" s="43">
        <f>DSNV!B9</f>
        <v>4</v>
      </c>
      <c r="C14" s="2" t="str">
        <f>DSNV!C9</f>
        <v>GC4PC</v>
      </c>
      <c r="D14" s="2" t="str">
        <f>DSNV!D9</f>
        <v>Bùi Tiến Đạt</v>
      </c>
      <c r="E14" s="2" t="s">
        <v>38</v>
      </c>
      <c r="F14" s="2" t="s">
        <v>38</v>
      </c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>
        <f t="shared" si="2"/>
        <v>2</v>
      </c>
      <c r="AK14" s="2"/>
      <c r="AL14" s="2">
        <f t="shared" si="3"/>
        <v>0</v>
      </c>
      <c r="AM14" s="2">
        <f t="shared" si="4"/>
        <v>0</v>
      </c>
      <c r="AN14" s="2">
        <f t="shared" si="5"/>
        <v>0</v>
      </c>
      <c r="AO14" s="15">
        <f t="shared" si="8"/>
        <v>2</v>
      </c>
      <c r="AP14" s="14">
        <f t="shared" si="6"/>
        <v>120000</v>
      </c>
      <c r="AQ14" s="42">
        <f t="shared" si="7"/>
        <v>0</v>
      </c>
      <c r="AR14" s="2"/>
      <c r="AS14" s="2"/>
      <c r="AT14" s="2"/>
    </row>
    <row r="15" spans="2:46">
      <c r="B15" s="43">
        <f>DSNV!B10</f>
        <v>5</v>
      </c>
      <c r="C15" s="2" t="str">
        <f>DSNV!C10</f>
        <v>GC5PC</v>
      </c>
      <c r="D15" s="2" t="str">
        <f>DSNV!D10</f>
        <v>Ngô Thị Mai Hoa</v>
      </c>
      <c r="E15" s="2" t="s">
        <v>38</v>
      </c>
      <c r="F15" s="2" t="s">
        <v>38</v>
      </c>
      <c r="G15" s="2"/>
      <c r="H15" s="2" t="s">
        <v>45</v>
      </c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>
        <f t="shared" si="2"/>
        <v>2</v>
      </c>
      <c r="AK15" s="2"/>
      <c r="AL15" s="2">
        <f t="shared" si="3"/>
        <v>0</v>
      </c>
      <c r="AM15" s="2">
        <f t="shared" si="4"/>
        <v>0</v>
      </c>
      <c r="AN15" s="2">
        <f t="shared" si="5"/>
        <v>1</v>
      </c>
      <c r="AO15" s="15">
        <f t="shared" si="8"/>
        <v>2</v>
      </c>
      <c r="AP15" s="14">
        <f t="shared" si="6"/>
        <v>120000</v>
      </c>
      <c r="AQ15" s="42">
        <f t="shared" si="7"/>
        <v>0</v>
      </c>
      <c r="AR15" s="2"/>
      <c r="AS15" s="2"/>
      <c r="AT15" s="2"/>
    </row>
    <row r="16" spans="2:46">
      <c r="B16" s="43">
        <f>DSNV!B11</f>
        <v>6</v>
      </c>
      <c r="C16" s="2" t="str">
        <f>DSNV!C11</f>
        <v>GC6PV</v>
      </c>
      <c r="D16" s="2" t="str">
        <f>DSNV!D11</f>
        <v>Nguyễn Ngọc Huyền</v>
      </c>
      <c r="E16" s="2" t="s">
        <v>38</v>
      </c>
      <c r="F16" s="2" t="s">
        <v>38</v>
      </c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>
        <f t="shared" si="2"/>
        <v>2</v>
      </c>
      <c r="AK16" s="2"/>
      <c r="AL16" s="2">
        <f t="shared" si="3"/>
        <v>0</v>
      </c>
      <c r="AM16" s="2">
        <f t="shared" si="4"/>
        <v>0</v>
      </c>
      <c r="AN16" s="2">
        <f t="shared" si="5"/>
        <v>0</v>
      </c>
      <c r="AO16" s="15">
        <f t="shared" si="8"/>
        <v>2</v>
      </c>
      <c r="AP16" s="14">
        <f t="shared" si="6"/>
        <v>96000</v>
      </c>
      <c r="AQ16" s="42">
        <f t="shared" si="7"/>
        <v>0</v>
      </c>
      <c r="AR16" s="2"/>
      <c r="AS16" s="2"/>
      <c r="AT16" s="2"/>
    </row>
    <row r="17" spans="2:46">
      <c r="B17" s="43">
        <f>DSNV!B12</f>
        <v>7</v>
      </c>
      <c r="C17" s="2" t="str">
        <f>DSNV!C12</f>
        <v>GC7PV</v>
      </c>
      <c r="D17" s="2" t="str">
        <f>DSNV!D12</f>
        <v>Trần Như Lan</v>
      </c>
      <c r="E17" s="2" t="s">
        <v>38</v>
      </c>
      <c r="F17" s="2" t="s">
        <v>38</v>
      </c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>
        <f t="shared" si="2"/>
        <v>2</v>
      </c>
      <c r="AK17" s="2"/>
      <c r="AL17" s="2">
        <f t="shared" si="3"/>
        <v>0</v>
      </c>
      <c r="AM17" s="2">
        <f t="shared" si="4"/>
        <v>0</v>
      </c>
      <c r="AN17" s="2">
        <f t="shared" si="5"/>
        <v>0</v>
      </c>
      <c r="AO17" s="15">
        <f t="shared" si="8"/>
        <v>2</v>
      </c>
      <c r="AP17" s="14">
        <f t="shared" si="6"/>
        <v>96000</v>
      </c>
      <c r="AQ17" s="42">
        <f t="shared" si="7"/>
        <v>0</v>
      </c>
      <c r="AR17" s="2"/>
      <c r="AS17" s="2"/>
      <c r="AT17" s="2"/>
    </row>
    <row r="18" spans="2:46">
      <c r="B18" s="43">
        <f>DSNV!B13</f>
        <v>8</v>
      </c>
      <c r="C18" s="2" t="str">
        <f>DSNV!C13</f>
        <v>GC8PV</v>
      </c>
      <c r="D18" s="2" t="str">
        <f>DSNV!D13</f>
        <v>Nguyễn Ánh Minh</v>
      </c>
      <c r="E18" s="2" t="s">
        <v>38</v>
      </c>
      <c r="F18" s="2" t="s">
        <v>38</v>
      </c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>
        <f t="shared" si="2"/>
        <v>2</v>
      </c>
      <c r="AK18" s="2"/>
      <c r="AL18" s="2">
        <f t="shared" si="3"/>
        <v>0</v>
      </c>
      <c r="AM18" s="2">
        <f t="shared" si="4"/>
        <v>0</v>
      </c>
      <c r="AN18" s="2">
        <f t="shared" si="5"/>
        <v>0</v>
      </c>
      <c r="AO18" s="15">
        <f t="shared" si="8"/>
        <v>2</v>
      </c>
      <c r="AP18" s="14">
        <f t="shared" si="6"/>
        <v>96000</v>
      </c>
      <c r="AQ18" s="42">
        <f t="shared" si="7"/>
        <v>0</v>
      </c>
      <c r="AR18" s="2"/>
      <c r="AS18" s="2"/>
      <c r="AT18" s="2"/>
    </row>
    <row r="19" spans="2:46">
      <c r="B19" s="43">
        <f>DSNV!B14</f>
        <v>9</v>
      </c>
      <c r="C19" s="2" t="str">
        <f>DSNV!C14</f>
        <v>GC9TN</v>
      </c>
      <c r="D19" s="2" t="str">
        <f>DSNV!D14</f>
        <v>Hoàng Như Quỳnh</v>
      </c>
      <c r="E19" s="2" t="s">
        <v>38</v>
      </c>
      <c r="F19" s="2" t="s">
        <v>38</v>
      </c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>
        <f t="shared" si="2"/>
        <v>2</v>
      </c>
      <c r="AK19" s="2"/>
      <c r="AL19" s="2">
        <f t="shared" si="3"/>
        <v>0</v>
      </c>
      <c r="AM19" s="2">
        <f t="shared" si="4"/>
        <v>0</v>
      </c>
      <c r="AN19" s="2">
        <f t="shared" si="5"/>
        <v>0</v>
      </c>
      <c r="AO19" s="15">
        <f t="shared" si="8"/>
        <v>2</v>
      </c>
      <c r="AP19" s="14">
        <f t="shared" si="6"/>
        <v>160000</v>
      </c>
      <c r="AQ19" s="42">
        <f t="shared" si="7"/>
        <v>0</v>
      </c>
      <c r="AR19" s="2"/>
      <c r="AS19" s="2"/>
      <c r="AT19" s="2"/>
    </row>
    <row r="20" spans="2:46">
      <c r="B20" s="43">
        <f>DSNV!B15</f>
        <v>10</v>
      </c>
      <c r="C20" s="2" t="str">
        <f>DSNV!C15</f>
        <v>GC10BV</v>
      </c>
      <c r="D20" s="2" t="str">
        <f>DSNV!D15</f>
        <v>Lê Thị Tuyết</v>
      </c>
      <c r="E20" s="2" t="s">
        <v>38</v>
      </c>
      <c r="F20" s="2" t="s">
        <v>38</v>
      </c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>
        <f t="shared" si="2"/>
        <v>2</v>
      </c>
      <c r="AK20" s="2"/>
      <c r="AL20" s="2">
        <f t="shared" si="3"/>
        <v>0</v>
      </c>
      <c r="AM20" s="2">
        <f t="shared" si="4"/>
        <v>0</v>
      </c>
      <c r="AN20" s="2">
        <f t="shared" si="5"/>
        <v>0</v>
      </c>
      <c r="AO20" s="15">
        <f t="shared" si="8"/>
        <v>2</v>
      </c>
      <c r="AP20" s="14">
        <f t="shared" si="6"/>
        <v>96000</v>
      </c>
      <c r="AQ20" s="42">
        <f t="shared" si="7"/>
        <v>0</v>
      </c>
      <c r="AR20" s="2"/>
      <c r="AS20" s="2"/>
      <c r="AT20" s="2"/>
    </row>
    <row r="21" spans="2:46">
      <c r="B21" s="43">
        <f>DSNV!B16</f>
        <v>11</v>
      </c>
      <c r="C21" s="2" t="str">
        <f>DSNV!C16</f>
        <v>GC11BV</v>
      </c>
      <c r="D21" s="2" t="str">
        <f>DSNV!D16</f>
        <v>Phan Mạnh Tùng</v>
      </c>
      <c r="E21" s="2" t="s">
        <v>38</v>
      </c>
      <c r="F21" s="2" t="s">
        <v>38</v>
      </c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>
        <f t="shared" si="2"/>
        <v>2</v>
      </c>
      <c r="AK21" s="2"/>
      <c r="AL21" s="2">
        <f t="shared" si="3"/>
        <v>0</v>
      </c>
      <c r="AM21" s="2">
        <f t="shared" si="4"/>
        <v>0</v>
      </c>
      <c r="AN21" s="2">
        <f t="shared" si="5"/>
        <v>0</v>
      </c>
      <c r="AO21" s="15">
        <f t="shared" si="8"/>
        <v>2</v>
      </c>
      <c r="AP21" s="14">
        <f t="shared" si="6"/>
        <v>96000</v>
      </c>
      <c r="AQ21" s="42">
        <f t="shared" si="7"/>
        <v>0</v>
      </c>
      <c r="AR21" s="2"/>
      <c r="AS21" s="2"/>
      <c r="AT21" s="2"/>
    </row>
    <row r="23" spans="2:46">
      <c r="K23" s="116" t="s">
        <v>51</v>
      </c>
      <c r="L23" s="116"/>
      <c r="M23" s="116"/>
      <c r="N23" s="116"/>
      <c r="O23" s="116"/>
      <c r="R23" s="12"/>
      <c r="S23" s="12"/>
      <c r="T23" s="116" t="s">
        <v>71</v>
      </c>
      <c r="U23" s="116"/>
      <c r="V23" s="116"/>
      <c r="W23" s="116"/>
      <c r="X23" s="116"/>
      <c r="AC23" s="104" t="s">
        <v>75</v>
      </c>
      <c r="AD23" s="104"/>
      <c r="AE23" s="104"/>
      <c r="AF23" s="104"/>
      <c r="AG23" s="104"/>
      <c r="AH23" s="104"/>
      <c r="AI23" s="104"/>
    </row>
    <row r="24" spans="2:46">
      <c r="K24" s="110" t="s">
        <v>33</v>
      </c>
      <c r="L24" s="110"/>
      <c r="M24" s="110"/>
      <c r="N24" s="104" t="s">
        <v>38</v>
      </c>
      <c r="O24" s="104"/>
      <c r="T24" s="104" t="s">
        <v>63</v>
      </c>
      <c r="U24" s="104"/>
      <c r="V24" s="105">
        <v>80000</v>
      </c>
      <c r="W24" s="106"/>
      <c r="X24" s="107"/>
      <c r="AC24" s="104" t="s">
        <v>76</v>
      </c>
      <c r="AD24" s="104"/>
      <c r="AE24" s="104" t="s">
        <v>77</v>
      </c>
      <c r="AF24" s="104"/>
      <c r="AG24" s="104" t="s">
        <v>78</v>
      </c>
      <c r="AH24" s="104"/>
      <c r="AI24" s="104"/>
    </row>
    <row r="25" spans="2:46">
      <c r="K25" s="110" t="s">
        <v>34</v>
      </c>
      <c r="L25" s="110"/>
      <c r="M25" s="110"/>
      <c r="N25" s="104" t="s">
        <v>35</v>
      </c>
      <c r="O25" s="104"/>
      <c r="T25" s="104" t="s">
        <v>65</v>
      </c>
      <c r="U25" s="104"/>
      <c r="V25" s="105">
        <v>60000</v>
      </c>
      <c r="W25" s="106"/>
      <c r="X25" s="107"/>
      <c r="AC25" s="104">
        <v>0</v>
      </c>
      <c r="AD25" s="104"/>
      <c r="AE25" s="104">
        <v>20</v>
      </c>
      <c r="AF25" s="104"/>
      <c r="AG25" s="105">
        <v>0</v>
      </c>
      <c r="AH25" s="106"/>
      <c r="AI25" s="107"/>
    </row>
    <row r="26" spans="2:46">
      <c r="K26" s="110" t="s">
        <v>36</v>
      </c>
      <c r="L26" s="110"/>
      <c r="M26" s="110"/>
      <c r="N26" s="104" t="s">
        <v>37</v>
      </c>
      <c r="O26" s="104"/>
      <c r="T26" s="104" t="s">
        <v>67</v>
      </c>
      <c r="U26" s="104"/>
      <c r="V26" s="105">
        <v>48000</v>
      </c>
      <c r="W26" s="106"/>
      <c r="X26" s="107"/>
      <c r="AC26" s="104">
        <v>20</v>
      </c>
      <c r="AD26" s="104"/>
      <c r="AE26" s="104">
        <v>25</v>
      </c>
      <c r="AF26" s="104"/>
      <c r="AG26" s="104">
        <v>50000</v>
      </c>
      <c r="AH26" s="104"/>
      <c r="AI26" s="104"/>
    </row>
    <row r="27" spans="2:46">
      <c r="K27" s="110" t="s">
        <v>41</v>
      </c>
      <c r="L27" s="110"/>
      <c r="M27" s="110"/>
      <c r="N27" s="104" t="s">
        <v>42</v>
      </c>
      <c r="O27" s="104"/>
      <c r="T27" s="104" t="s">
        <v>69</v>
      </c>
      <c r="U27" s="104"/>
      <c r="V27" s="105">
        <v>48000</v>
      </c>
      <c r="W27" s="106"/>
      <c r="X27" s="107"/>
      <c r="AC27" s="104">
        <v>26</v>
      </c>
      <c r="AD27" s="104"/>
      <c r="AE27" s="104">
        <v>31</v>
      </c>
      <c r="AF27" s="104"/>
      <c r="AG27" s="104">
        <v>70000</v>
      </c>
      <c r="AH27" s="104"/>
      <c r="AI27" s="104"/>
    </row>
    <row r="28" spans="2:46">
      <c r="K28" s="110" t="s">
        <v>46</v>
      </c>
      <c r="L28" s="110"/>
      <c r="M28" s="110"/>
      <c r="N28" s="104" t="s">
        <v>47</v>
      </c>
      <c r="O28" s="104"/>
    </row>
  </sheetData>
  <mergeCells count="52">
    <mergeCell ref="C2:D2"/>
    <mergeCell ref="B8:B10"/>
    <mergeCell ref="C8:C10"/>
    <mergeCell ref="D8:D10"/>
    <mergeCell ref="E8:AI8"/>
    <mergeCell ref="H2:K2"/>
    <mergeCell ref="M2:P2"/>
    <mergeCell ref="N28:O28"/>
    <mergeCell ref="AO8:AO10"/>
    <mergeCell ref="AP8:AP10"/>
    <mergeCell ref="AR8:AR10"/>
    <mergeCell ref="AJ8:AN8"/>
    <mergeCell ref="AJ9:AJ10"/>
    <mergeCell ref="AL9:AL10"/>
    <mergeCell ref="AM9:AM10"/>
    <mergeCell ref="AN9:AN10"/>
    <mergeCell ref="K23:O23"/>
    <mergeCell ref="T23:X23"/>
    <mergeCell ref="N24:O24"/>
    <mergeCell ref="N25:O25"/>
    <mergeCell ref="N26:O26"/>
    <mergeCell ref="K28:M28"/>
    <mergeCell ref="K27:M27"/>
    <mergeCell ref="N27:O27"/>
    <mergeCell ref="AC24:AD24"/>
    <mergeCell ref="AE24:AF24"/>
    <mergeCell ref="K25:M25"/>
    <mergeCell ref="K24:M24"/>
    <mergeCell ref="K26:M26"/>
    <mergeCell ref="V26:X26"/>
    <mergeCell ref="V27:X27"/>
    <mergeCell ref="T24:U24"/>
    <mergeCell ref="T25:U25"/>
    <mergeCell ref="T26:U26"/>
    <mergeCell ref="T27:U27"/>
    <mergeCell ref="V24:X24"/>
    <mergeCell ref="V25:X25"/>
    <mergeCell ref="AQ8:AQ10"/>
    <mergeCell ref="AS8:AS10"/>
    <mergeCell ref="AT8:AT10"/>
    <mergeCell ref="AC27:AD27"/>
    <mergeCell ref="AE27:AF27"/>
    <mergeCell ref="AG24:AI24"/>
    <mergeCell ref="AG27:AI27"/>
    <mergeCell ref="AG26:AI26"/>
    <mergeCell ref="AG25:AI25"/>
    <mergeCell ref="AC25:AD25"/>
    <mergeCell ref="AE25:AF25"/>
    <mergeCell ref="AC26:AD26"/>
    <mergeCell ref="AE26:AF26"/>
    <mergeCell ref="AK9:AK10"/>
    <mergeCell ref="AC23:AI23"/>
  </mergeCells>
  <hyperlinks>
    <hyperlink ref="M2:P2" location="MENU!A1" display="MENU" xr:uid="{00000000-0004-0000-0200-000000000000}"/>
  </hyperlink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2:J36"/>
  <sheetViews>
    <sheetView workbookViewId="0">
      <selection activeCell="C8" sqref="C8"/>
    </sheetView>
  </sheetViews>
  <sheetFormatPr defaultRowHeight="15"/>
  <cols>
    <col min="1" max="1" width="7" customWidth="1"/>
    <col min="2" max="2" width="6.125" customWidth="1"/>
    <col min="3" max="3" width="16.125" bestFit="1" customWidth="1"/>
    <col min="4" max="4" width="12.125" customWidth="1"/>
    <col min="5" max="5" width="6.875" customWidth="1"/>
    <col min="6" max="6" width="12" customWidth="1"/>
  </cols>
  <sheetData>
    <row r="2" spans="1:10" ht="15" customHeight="1">
      <c r="A2" s="117" t="s">
        <v>88</v>
      </c>
      <c r="B2" s="117"/>
      <c r="C2" s="117"/>
      <c r="D2" s="117"/>
      <c r="E2" s="117"/>
      <c r="F2" s="117"/>
      <c r="H2" s="99" t="s">
        <v>180</v>
      </c>
      <c r="I2" s="99"/>
    </row>
    <row r="3" spans="1:10" ht="15" customHeight="1">
      <c r="A3" s="117"/>
      <c r="B3" s="117"/>
      <c r="C3" s="117"/>
      <c r="D3" s="117"/>
      <c r="E3" s="117"/>
      <c r="F3" s="117"/>
      <c r="H3" s="99"/>
      <c r="I3" s="99"/>
    </row>
    <row r="4" spans="1:10">
      <c r="E4" s="5"/>
      <c r="F4" s="5"/>
      <c r="G4" s="50"/>
    </row>
    <row r="5" spans="1:10">
      <c r="B5" s="64" t="s">
        <v>1</v>
      </c>
      <c r="C5" s="65" t="s">
        <v>83</v>
      </c>
      <c r="D5" s="66" t="s">
        <v>82</v>
      </c>
      <c r="E5" s="67" t="s">
        <v>85</v>
      </c>
      <c r="F5" s="17"/>
      <c r="G5" s="51"/>
    </row>
    <row r="6" spans="1:10">
      <c r="B6" s="62">
        <f>IF(C6="","",SUBTOTAL(103,$C$6:C6))</f>
        <v>1</v>
      </c>
      <c r="C6" s="37" t="s">
        <v>91</v>
      </c>
      <c r="D6" s="37" t="s">
        <v>90</v>
      </c>
      <c r="E6" s="63" t="s">
        <v>92</v>
      </c>
      <c r="G6" s="38"/>
      <c r="H6" s="38"/>
      <c r="I6" s="38"/>
      <c r="J6" s="38"/>
    </row>
    <row r="7" spans="1:10">
      <c r="A7" s="10"/>
      <c r="B7" s="62">
        <f>IF(C7="","",SUBTOTAL(103,$C$6:C7))</f>
        <v>2</v>
      </c>
      <c r="C7" s="37" t="s">
        <v>97</v>
      </c>
      <c r="D7" s="37" t="s">
        <v>93</v>
      </c>
      <c r="E7" s="63" t="s">
        <v>98</v>
      </c>
      <c r="F7" s="10"/>
      <c r="G7" s="38"/>
      <c r="H7" s="38"/>
      <c r="I7" s="38"/>
      <c r="J7" s="38"/>
    </row>
    <row r="8" spans="1:10">
      <c r="A8" s="10"/>
      <c r="B8" s="62">
        <f>IF(C8="","",SUBTOTAL(103,$C$6:C8))</f>
        <v>3</v>
      </c>
      <c r="C8" s="37" t="s">
        <v>99</v>
      </c>
      <c r="D8" s="37" t="s">
        <v>94</v>
      </c>
      <c r="E8" s="63" t="s">
        <v>98</v>
      </c>
      <c r="F8" s="10"/>
      <c r="G8" s="38"/>
      <c r="H8" s="38"/>
      <c r="I8" s="38"/>
      <c r="J8" s="38"/>
    </row>
    <row r="9" spans="1:10">
      <c r="A9" s="10"/>
      <c r="B9" s="62">
        <f>IF(C9="","",SUBTOTAL(103,$C$6:C9))</f>
        <v>4</v>
      </c>
      <c r="C9" s="37" t="s">
        <v>100</v>
      </c>
      <c r="D9" s="37" t="s">
        <v>95</v>
      </c>
      <c r="E9" s="63" t="s">
        <v>101</v>
      </c>
      <c r="F9" s="10"/>
      <c r="G9" s="38"/>
      <c r="H9" s="38"/>
      <c r="I9" s="38"/>
      <c r="J9" s="38"/>
    </row>
    <row r="10" spans="1:10">
      <c r="A10" s="10"/>
      <c r="B10" s="62">
        <f>IF(C10="","",SUBTOTAL(103,$C$6:C10))</f>
        <v>5</v>
      </c>
      <c r="C10" s="37" t="s">
        <v>102</v>
      </c>
      <c r="D10" s="37" t="s">
        <v>96</v>
      </c>
      <c r="E10" s="63" t="s">
        <v>98</v>
      </c>
      <c r="F10" s="10"/>
      <c r="G10" s="38"/>
      <c r="H10" s="38"/>
      <c r="I10" s="38"/>
      <c r="J10" s="38"/>
    </row>
    <row r="11" spans="1:10">
      <c r="A11" s="10"/>
      <c r="B11" s="62">
        <f>IF(C11="","",SUBTOTAL(103,$C$6:C11))</f>
        <v>6</v>
      </c>
      <c r="C11" s="37" t="s">
        <v>104</v>
      </c>
      <c r="D11" s="37" t="s">
        <v>103</v>
      </c>
      <c r="E11" s="63" t="s">
        <v>98</v>
      </c>
      <c r="F11" s="10"/>
      <c r="G11" s="38"/>
      <c r="H11" s="38"/>
      <c r="I11" s="38"/>
      <c r="J11" s="38"/>
    </row>
    <row r="12" spans="1:10">
      <c r="A12" s="10"/>
      <c r="B12" s="62">
        <f>IF(C12="","",SUBTOTAL(103,$C$6:C12))</f>
        <v>7</v>
      </c>
      <c r="C12" s="37" t="s">
        <v>105</v>
      </c>
      <c r="D12" s="37" t="s">
        <v>139</v>
      </c>
      <c r="E12" s="63" t="s">
        <v>98</v>
      </c>
      <c r="F12" s="10"/>
      <c r="G12" s="38"/>
      <c r="H12" s="38"/>
      <c r="I12" s="38"/>
      <c r="J12" s="38"/>
    </row>
    <row r="13" spans="1:10">
      <c r="A13" s="10"/>
      <c r="B13" s="62">
        <f>IF(C13="","",SUBTOTAL(103,$C$6:C13))</f>
        <v>8</v>
      </c>
      <c r="C13" s="37" t="s">
        <v>106</v>
      </c>
      <c r="D13" s="37" t="s">
        <v>140</v>
      </c>
      <c r="E13" s="63" t="s">
        <v>98</v>
      </c>
      <c r="F13" s="10"/>
      <c r="G13" s="38"/>
      <c r="H13" s="38"/>
      <c r="I13" s="38"/>
      <c r="J13" s="38"/>
    </row>
    <row r="14" spans="1:10">
      <c r="A14" s="10"/>
      <c r="B14" s="62">
        <f>IF(C14="","",SUBTOTAL(103,$C$6:C14))</f>
        <v>9</v>
      </c>
      <c r="C14" s="37" t="s">
        <v>107</v>
      </c>
      <c r="D14" s="37" t="s">
        <v>141</v>
      </c>
      <c r="E14" s="63" t="s">
        <v>98</v>
      </c>
      <c r="F14" s="10"/>
      <c r="G14" s="38"/>
      <c r="H14" s="38"/>
      <c r="I14" s="38"/>
      <c r="J14" s="38"/>
    </row>
    <row r="15" spans="1:10">
      <c r="A15" s="10"/>
      <c r="B15" s="62">
        <f>IF(C15="","",SUBTOTAL(103,$C$6:C15))</f>
        <v>10</v>
      </c>
      <c r="C15" s="37" t="s">
        <v>108</v>
      </c>
      <c r="D15" s="37" t="s">
        <v>142</v>
      </c>
      <c r="E15" s="63" t="s">
        <v>98</v>
      </c>
      <c r="F15" s="10"/>
      <c r="G15" s="38"/>
      <c r="H15" s="38"/>
      <c r="I15" s="38"/>
      <c r="J15" s="38"/>
    </row>
    <row r="16" spans="1:10">
      <c r="A16" s="10"/>
      <c r="B16" s="62">
        <f>IF(C16="","",SUBTOTAL(103,$C$6:C16))</f>
        <v>11</v>
      </c>
      <c r="C16" s="37" t="s">
        <v>109</v>
      </c>
      <c r="D16" s="37" t="s">
        <v>143</v>
      </c>
      <c r="E16" s="63" t="s">
        <v>98</v>
      </c>
      <c r="F16" s="10"/>
      <c r="G16" s="38"/>
      <c r="H16" s="38"/>
      <c r="I16" s="38"/>
      <c r="J16" s="38"/>
    </row>
    <row r="17" spans="1:10">
      <c r="A17" s="10"/>
      <c r="B17" s="62">
        <f>IF(C17="","",SUBTOTAL(103,$C$6:C17))</f>
        <v>12</v>
      </c>
      <c r="C17" s="37" t="s">
        <v>110</v>
      </c>
      <c r="D17" s="37" t="s">
        <v>144</v>
      </c>
      <c r="E17" s="63" t="s">
        <v>98</v>
      </c>
      <c r="F17" s="10"/>
      <c r="G17" s="38"/>
      <c r="H17" s="38"/>
      <c r="I17" s="38"/>
      <c r="J17" s="38"/>
    </row>
    <row r="18" spans="1:10">
      <c r="B18" s="62">
        <f>IF(C18="","",SUBTOTAL(103,$C$6:C18))</f>
        <v>13</v>
      </c>
      <c r="C18" s="37" t="s">
        <v>111</v>
      </c>
      <c r="D18" s="37" t="s">
        <v>145</v>
      </c>
      <c r="E18" s="63" t="s">
        <v>98</v>
      </c>
      <c r="G18" s="38"/>
      <c r="H18" s="38"/>
      <c r="I18" s="38"/>
      <c r="J18" s="38"/>
    </row>
    <row r="19" spans="1:10">
      <c r="B19" s="62">
        <f>IF(C19="","",SUBTOTAL(103,$C$6:C19))</f>
        <v>14</v>
      </c>
      <c r="C19" s="37" t="s">
        <v>112</v>
      </c>
      <c r="D19" s="37" t="s">
        <v>146</v>
      </c>
      <c r="E19" s="63" t="s">
        <v>98</v>
      </c>
      <c r="G19" s="38"/>
      <c r="H19" s="38"/>
      <c r="I19" s="38"/>
      <c r="J19" s="38"/>
    </row>
    <row r="20" spans="1:10">
      <c r="B20" s="62">
        <f>IF(C20="","",SUBTOTAL(103,$C$6:C20))</f>
        <v>15</v>
      </c>
      <c r="C20" s="37" t="s">
        <v>113</v>
      </c>
      <c r="D20" s="37" t="s">
        <v>147</v>
      </c>
      <c r="E20" s="63" t="s">
        <v>98</v>
      </c>
      <c r="G20" s="38"/>
      <c r="H20" s="38"/>
      <c r="I20" s="38"/>
      <c r="J20" s="38"/>
    </row>
    <row r="21" spans="1:10">
      <c r="B21" s="62">
        <f>IF(C21="","",SUBTOTAL(103,$C$6:C21))</f>
        <v>16</v>
      </c>
      <c r="C21" s="37" t="s">
        <v>117</v>
      </c>
      <c r="D21" s="37" t="s">
        <v>148</v>
      </c>
      <c r="E21" s="63" t="s">
        <v>98</v>
      </c>
      <c r="G21" s="38"/>
      <c r="H21" s="38"/>
      <c r="I21" s="38"/>
      <c r="J21" s="38"/>
    </row>
    <row r="22" spans="1:10">
      <c r="B22" s="62">
        <f>IF(C22="","",SUBTOTAL(103,$C$6:C22))</f>
        <v>17</v>
      </c>
      <c r="C22" s="37" t="s">
        <v>123</v>
      </c>
      <c r="D22" s="37" t="s">
        <v>149</v>
      </c>
      <c r="E22" s="63" t="s">
        <v>98</v>
      </c>
      <c r="G22" s="38"/>
      <c r="H22" s="38"/>
      <c r="I22" s="38"/>
      <c r="J22" s="38"/>
    </row>
    <row r="23" spans="1:10">
      <c r="B23" s="62">
        <f>IF(C23="","",SUBTOTAL(103,$C$6:C23))</f>
        <v>18</v>
      </c>
      <c r="C23" s="37" t="s">
        <v>116</v>
      </c>
      <c r="D23" s="37" t="s">
        <v>150</v>
      </c>
      <c r="E23" s="63" t="s">
        <v>101</v>
      </c>
      <c r="G23" s="38"/>
      <c r="H23" s="38"/>
      <c r="I23" s="38"/>
      <c r="J23" s="38"/>
    </row>
    <row r="24" spans="1:10">
      <c r="B24" s="62">
        <f>IF(C24="","",SUBTOTAL(103,$C$6:C24))</f>
        <v>19</v>
      </c>
      <c r="C24" s="37" t="s">
        <v>114</v>
      </c>
      <c r="D24" s="37" t="s">
        <v>151</v>
      </c>
      <c r="E24" s="63" t="s">
        <v>101</v>
      </c>
      <c r="G24" s="38"/>
      <c r="H24" s="38"/>
      <c r="I24" s="38"/>
      <c r="J24" s="38"/>
    </row>
    <row r="25" spans="1:10">
      <c r="B25" s="62">
        <f>IF(C25="","",SUBTOTAL(103,$C$6:C25))</f>
        <v>20</v>
      </c>
      <c r="C25" s="37" t="s">
        <v>118</v>
      </c>
      <c r="D25" s="37" t="s">
        <v>152</v>
      </c>
      <c r="E25" s="63" t="s">
        <v>101</v>
      </c>
      <c r="G25" s="38"/>
      <c r="H25" s="38"/>
      <c r="I25" s="38"/>
      <c r="J25" s="38"/>
    </row>
    <row r="26" spans="1:10">
      <c r="B26" s="62">
        <f>IF(C26="","",SUBTOTAL(103,$C$6:C26))</f>
        <v>21</v>
      </c>
      <c r="C26" s="37" t="s">
        <v>119</v>
      </c>
      <c r="D26" s="37" t="s">
        <v>153</v>
      </c>
      <c r="E26" s="63" t="s">
        <v>101</v>
      </c>
      <c r="G26" s="38"/>
      <c r="H26" s="38"/>
      <c r="I26" s="38"/>
      <c r="J26" s="38"/>
    </row>
    <row r="27" spans="1:10">
      <c r="B27" s="62">
        <f>IF(C27="","",SUBTOTAL(103,$C$6:C27))</f>
        <v>22</v>
      </c>
      <c r="C27" s="37" t="s">
        <v>120</v>
      </c>
      <c r="D27" s="37" t="s">
        <v>154</v>
      </c>
      <c r="E27" s="63" t="s">
        <v>101</v>
      </c>
      <c r="G27" s="38"/>
      <c r="H27" s="38"/>
      <c r="I27" s="38"/>
      <c r="J27" s="38"/>
    </row>
    <row r="28" spans="1:10">
      <c r="B28" s="62">
        <f>IF(C28="","",SUBTOTAL(103,$C$6:C28))</f>
        <v>23</v>
      </c>
      <c r="C28" s="37" t="s">
        <v>115</v>
      </c>
      <c r="D28" s="37" t="s">
        <v>155</v>
      </c>
      <c r="E28" s="63" t="s">
        <v>101</v>
      </c>
      <c r="G28" s="38"/>
      <c r="H28" s="38"/>
      <c r="I28" s="38"/>
      <c r="J28" s="38"/>
    </row>
    <row r="29" spans="1:10">
      <c r="B29" s="62">
        <f>IF(C29="","",SUBTOTAL(103,$C$6:C29))</f>
        <v>24</v>
      </c>
      <c r="C29" s="37" t="s">
        <v>121</v>
      </c>
      <c r="D29" s="37" t="s">
        <v>156</v>
      </c>
      <c r="E29" s="63" t="s">
        <v>122</v>
      </c>
      <c r="G29" s="38"/>
      <c r="H29" s="38"/>
      <c r="I29" s="38"/>
      <c r="J29" s="38"/>
    </row>
    <row r="30" spans="1:10">
      <c r="B30" s="62">
        <f>IF(C30="","",SUBTOTAL(103,$C$6:C30))</f>
        <v>25</v>
      </c>
      <c r="C30" s="37" t="s">
        <v>124</v>
      </c>
      <c r="D30" s="37" t="s">
        <v>157</v>
      </c>
      <c r="E30" s="63" t="s">
        <v>125</v>
      </c>
      <c r="G30" s="38"/>
      <c r="H30" s="38"/>
      <c r="I30" s="38"/>
      <c r="J30" s="38"/>
    </row>
    <row r="31" spans="1:10">
      <c r="B31" s="62">
        <f>IF(C31="","",SUBTOTAL(103,$C$6:C31))</f>
        <v>26</v>
      </c>
      <c r="C31" s="37" t="s">
        <v>126</v>
      </c>
      <c r="D31" s="37" t="s">
        <v>158</v>
      </c>
      <c r="E31" s="63" t="s">
        <v>98</v>
      </c>
      <c r="G31" s="38"/>
      <c r="H31" s="38"/>
      <c r="I31" s="38"/>
      <c r="J31" s="38"/>
    </row>
    <row r="32" spans="1:10">
      <c r="B32" s="62">
        <f>IF(C32="","",SUBTOTAL(103,$C$6:C32))</f>
        <v>27</v>
      </c>
      <c r="C32" s="37" t="s">
        <v>127</v>
      </c>
      <c r="D32" s="37" t="s">
        <v>159</v>
      </c>
      <c r="E32" s="63" t="s">
        <v>98</v>
      </c>
      <c r="G32" s="38"/>
      <c r="H32" s="38"/>
      <c r="I32" s="38"/>
      <c r="J32" s="38"/>
    </row>
    <row r="33" spans="2:10">
      <c r="B33" s="62">
        <f>IF(C33="","",SUBTOTAL(103,$C$6:C33))</f>
        <v>28</v>
      </c>
      <c r="C33" s="37" t="s">
        <v>128</v>
      </c>
      <c r="D33" s="37" t="s">
        <v>160</v>
      </c>
      <c r="E33" s="63" t="s">
        <v>129</v>
      </c>
      <c r="G33" s="38"/>
      <c r="H33" s="38"/>
      <c r="I33" s="38"/>
      <c r="J33" s="38"/>
    </row>
    <row r="34" spans="2:10">
      <c r="B34" s="62">
        <f>IF(C34="","",SUBTOTAL(103,$C$6:C34))</f>
        <v>29</v>
      </c>
      <c r="C34" s="37" t="s">
        <v>130</v>
      </c>
      <c r="D34" s="37" t="s">
        <v>161</v>
      </c>
      <c r="E34" s="63" t="s">
        <v>129</v>
      </c>
      <c r="G34" s="38"/>
      <c r="H34" s="38"/>
      <c r="I34" s="38"/>
      <c r="J34" s="38"/>
    </row>
    <row r="35" spans="2:10">
      <c r="B35" s="62">
        <f>IF(C35="","",SUBTOTAL(103,$C$6:C35))</f>
        <v>30</v>
      </c>
      <c r="C35" s="37" t="s">
        <v>131</v>
      </c>
      <c r="D35" s="37" t="s">
        <v>162</v>
      </c>
      <c r="E35" s="63" t="s">
        <v>129</v>
      </c>
      <c r="G35" s="38"/>
      <c r="H35" s="38"/>
      <c r="I35" s="38"/>
      <c r="J35" s="38"/>
    </row>
    <row r="36" spans="2:10">
      <c r="B36" s="68">
        <f>IF(C36="","",SUBTOTAL(103,$C$6:C36))</f>
        <v>31</v>
      </c>
      <c r="C36" s="69" t="s">
        <v>132</v>
      </c>
      <c r="D36" s="69" t="s">
        <v>163</v>
      </c>
      <c r="E36" s="70" t="s">
        <v>98</v>
      </c>
      <c r="G36" s="38"/>
      <c r="H36" s="38"/>
      <c r="I36" s="38"/>
      <c r="J36" s="38"/>
    </row>
  </sheetData>
  <mergeCells count="2">
    <mergeCell ref="H2:I3"/>
    <mergeCell ref="A2:F3"/>
  </mergeCells>
  <dataValidations count="6">
    <dataValidation type="list" allowBlank="1" showInputMessage="1" showErrorMessage="1" sqref="G6:H36" xr:uid="{00000000-0002-0000-0300-000000000000}">
      <formula1>$C$6:$C$36</formula1>
    </dataValidation>
    <dataValidation type="list" allowBlank="1" showInputMessage="1" showErrorMessage="1" sqref="I6:I36" xr:uid="{00000000-0002-0000-0300-000001000000}">
      <formula1>$D$6:$D$36</formula1>
    </dataValidation>
    <dataValidation type="list" allowBlank="1" showInputMessage="1" showErrorMessage="1" sqref="J6:J36" xr:uid="{00000000-0002-0000-0300-000002000000}">
      <formula1>"thùng, kg, hộp, hũ, cái, chai"</formula1>
    </dataValidation>
    <dataValidation type="list" allowBlank="1" showInputMessage="1" showErrorMessage="1" errorTitle="Error" sqref="C6:C36" xr:uid="{00000000-0002-0000-0300-000003000000}">
      <formula1>MH</formula1>
    </dataValidation>
    <dataValidation type="list" allowBlank="1" showInputMessage="1" showErrorMessage="1" errorTitle="Error" sqref="D6:D36" xr:uid="{00000000-0002-0000-0300-000004000000}">
      <formula1>TH</formula1>
    </dataValidation>
    <dataValidation type="list" allowBlank="1" showInputMessage="1" showErrorMessage="1" errorTitle="Error" sqref="E6:E36" xr:uid="{00000000-0002-0000-0300-000005000000}">
      <formula1>"thùng, kg, hộp, hũ, cái, chai"</formula1>
    </dataValidation>
  </dataValidations>
  <hyperlinks>
    <hyperlink ref="H2:I3" location="MENU!A1" display="MENU" xr:uid="{00000000-0004-0000-0300-000000000000}"/>
  </hyperlinks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C1:L41"/>
  <sheetViews>
    <sheetView workbookViewId="0">
      <selection activeCell="K2" sqref="K2:L3"/>
    </sheetView>
  </sheetViews>
  <sheetFormatPr defaultRowHeight="15"/>
  <cols>
    <col min="2" max="2" width="5" customWidth="1"/>
    <col min="3" max="3" width="11.25" customWidth="1"/>
    <col min="4" max="4" width="10.875" bestFit="1" customWidth="1"/>
    <col min="5" max="5" width="16.125" bestFit="1" customWidth="1"/>
    <col min="6" max="6" width="14.625" bestFit="1" customWidth="1"/>
    <col min="7" max="7" width="7.25" customWidth="1"/>
    <col min="8" max="8" width="9.25" bestFit="1" customWidth="1"/>
    <col min="9" max="9" width="11.375" customWidth="1"/>
    <col min="10" max="10" width="13.625" customWidth="1"/>
    <col min="11" max="11" width="13.875" customWidth="1"/>
    <col min="12" max="12" width="11.125" customWidth="1"/>
  </cols>
  <sheetData>
    <row r="1" spans="3:12">
      <c r="J1" s="5"/>
    </row>
    <row r="2" spans="3:12" ht="15" customHeight="1">
      <c r="C2" t="s">
        <v>168</v>
      </c>
      <c r="D2">
        <v>2</v>
      </c>
      <c r="F2" s="121" t="s">
        <v>133</v>
      </c>
      <c r="G2" s="121"/>
      <c r="H2" s="121"/>
      <c r="I2" s="121"/>
      <c r="J2" s="5"/>
      <c r="K2" s="99" t="s">
        <v>180</v>
      </c>
      <c r="L2" s="99"/>
    </row>
    <row r="3" spans="3:12" ht="15" customHeight="1">
      <c r="C3" t="s">
        <v>169</v>
      </c>
      <c r="D3">
        <v>2019</v>
      </c>
      <c r="F3" s="121"/>
      <c r="G3" s="121"/>
      <c r="H3" s="121"/>
      <c r="I3" s="121"/>
      <c r="J3" s="5"/>
      <c r="K3" s="99"/>
      <c r="L3" s="99"/>
    </row>
    <row r="4" spans="3:12">
      <c r="J4" s="50"/>
    </row>
    <row r="7" spans="3:12">
      <c r="D7" t="s">
        <v>282</v>
      </c>
      <c r="E7" s="3">
        <f>DATE(Năm,thang1,5)</f>
        <v>43501</v>
      </c>
    </row>
    <row r="9" spans="3:12">
      <c r="D9" s="73" t="s">
        <v>1</v>
      </c>
      <c r="E9" s="65" t="s">
        <v>83</v>
      </c>
      <c r="F9" s="65" t="s">
        <v>82</v>
      </c>
      <c r="G9" s="65" t="s">
        <v>86</v>
      </c>
      <c r="H9" s="65" t="s">
        <v>85</v>
      </c>
      <c r="I9" s="65" t="s">
        <v>84</v>
      </c>
      <c r="J9" s="65" t="s">
        <v>89</v>
      </c>
      <c r="K9" s="65" t="s">
        <v>87</v>
      </c>
      <c r="L9" s="67" t="s">
        <v>138</v>
      </c>
    </row>
    <row r="10" spans="3:12">
      <c r="D10" s="71">
        <f>IF($E10="","",SUBTOTAL(103,$E$10:E10))</f>
        <v>1</v>
      </c>
      <c r="E10" s="2" t="s">
        <v>91</v>
      </c>
      <c r="F10" s="2" t="str">
        <f>IFERROR(VLOOKUP(E10,DMNVL!$C$5:$D$36,2,0),"")</f>
        <v>T1</v>
      </c>
      <c r="G10" s="2">
        <v>5</v>
      </c>
      <c r="H10" s="2" t="str">
        <f>IFERROR(VLOOKUP(E10,DMNVL!$C$5:$E$36,3,0),"")</f>
        <v>thùng</v>
      </c>
      <c r="I10" s="18">
        <v>120000</v>
      </c>
      <c r="J10" s="43" t="s">
        <v>42</v>
      </c>
      <c r="K10" s="18">
        <f>I10*G10</f>
        <v>600000</v>
      </c>
      <c r="L10" s="72"/>
    </row>
    <row r="11" spans="3:12">
      <c r="D11" s="71">
        <f>IF($E11="","",SUBTOTAL(103,$E$10:E11))</f>
        <v>2</v>
      </c>
      <c r="E11" s="2" t="s">
        <v>97</v>
      </c>
      <c r="F11" s="2" t="str">
        <f>IFERROR(VLOOKUP(E11,DMNVL!$C$5:$D$36,2,0),"")</f>
        <v>T2</v>
      </c>
      <c r="G11" s="2">
        <v>5</v>
      </c>
      <c r="H11" s="2" t="str">
        <f>IFERROR(VLOOKUP(E11,DMNVL!$C$5:$E$36,3,0),"")</f>
        <v>kg</v>
      </c>
      <c r="I11" s="18">
        <v>180000</v>
      </c>
      <c r="J11" s="43" t="s">
        <v>42</v>
      </c>
      <c r="K11" s="18">
        <f t="shared" ref="K11:K40" si="0">I11*G11</f>
        <v>900000</v>
      </c>
      <c r="L11" s="72"/>
    </row>
    <row r="12" spans="3:12">
      <c r="D12" s="71">
        <f>IF($E12="","",SUBTOTAL(103,$E$10:E12))</f>
        <v>3</v>
      </c>
      <c r="E12" s="2" t="s">
        <v>99</v>
      </c>
      <c r="F12" s="2" t="str">
        <f>IFERROR(VLOOKUP(E12,DMNVL!$C$5:$D$36,2,0),"")</f>
        <v>T3</v>
      </c>
      <c r="G12" s="2">
        <v>3</v>
      </c>
      <c r="H12" s="2" t="str">
        <f>IFERROR(VLOOKUP(E12,DMNVL!$C$5:$E$36,3,0),"")</f>
        <v>kg</v>
      </c>
      <c r="I12" s="18">
        <v>750000</v>
      </c>
      <c r="J12" s="43" t="s">
        <v>42</v>
      </c>
      <c r="K12" s="18">
        <f t="shared" si="0"/>
        <v>2250000</v>
      </c>
      <c r="L12" s="72"/>
    </row>
    <row r="13" spans="3:12">
      <c r="D13" s="71">
        <f>IF($E13="","",SUBTOTAL(103,$E$10:E13))</f>
        <v>4</v>
      </c>
      <c r="E13" s="2" t="s">
        <v>100</v>
      </c>
      <c r="F13" s="2" t="str">
        <f>IFERROR(VLOOKUP(E13,DMNVL!$C$5:$D$36,2,0),"")</f>
        <v>T4</v>
      </c>
      <c r="G13" s="2">
        <v>5</v>
      </c>
      <c r="H13" s="2" t="str">
        <f>IFERROR(VLOOKUP(E13,DMNVL!$C$5:$E$36,3,0),"")</f>
        <v>hộp</v>
      </c>
      <c r="I13" s="18">
        <v>60000</v>
      </c>
      <c r="J13" s="43" t="s">
        <v>42</v>
      </c>
      <c r="K13" s="18">
        <f t="shared" si="0"/>
        <v>300000</v>
      </c>
      <c r="L13" s="72"/>
    </row>
    <row r="14" spans="3:12">
      <c r="D14" s="71">
        <f>IF($E14="","",SUBTOTAL(103,$E$10:E14))</f>
        <v>5</v>
      </c>
      <c r="E14" s="2" t="s">
        <v>102</v>
      </c>
      <c r="F14" s="2" t="str">
        <f>IFERROR(VLOOKUP(E14,DMNVL!$C$5:$D$36,2,0),"")</f>
        <v>T5</v>
      </c>
      <c r="G14" s="2">
        <v>3</v>
      </c>
      <c r="H14" s="2" t="str">
        <f>IFERROR(VLOOKUP(E14,DMNVL!$C$5:$E$36,3,0),"")</f>
        <v>kg</v>
      </c>
      <c r="I14" s="18">
        <v>260000</v>
      </c>
      <c r="J14" s="43" t="s">
        <v>42</v>
      </c>
      <c r="K14" s="18">
        <f t="shared" si="0"/>
        <v>780000</v>
      </c>
      <c r="L14" s="72"/>
    </row>
    <row r="15" spans="3:12">
      <c r="D15" s="71">
        <f>IF($E15="","",SUBTOTAL(103,$E$10:E15))</f>
        <v>6</v>
      </c>
      <c r="E15" s="2" t="s">
        <v>104</v>
      </c>
      <c r="F15" s="2" t="str">
        <f>IFERROR(VLOOKUP(E15,DMNVL!$C$5:$D$36,2,0),"")</f>
        <v>T6</v>
      </c>
      <c r="G15" s="2">
        <v>10</v>
      </c>
      <c r="H15" s="2" t="str">
        <f>IFERROR(VLOOKUP(E15,DMNVL!$C$5:$E$36,3,0),"")</f>
        <v>kg</v>
      </c>
      <c r="I15" s="18">
        <v>200000</v>
      </c>
      <c r="J15" s="43" t="s">
        <v>42</v>
      </c>
      <c r="K15" s="18">
        <f t="shared" si="0"/>
        <v>2000000</v>
      </c>
      <c r="L15" s="72"/>
    </row>
    <row r="16" spans="3:12">
      <c r="D16" s="71">
        <f>IF($E16="","",SUBTOTAL(103,$E$10:E16))</f>
        <v>7</v>
      </c>
      <c r="E16" s="2" t="s">
        <v>105</v>
      </c>
      <c r="F16" s="2" t="str">
        <f>IFERROR(VLOOKUP(E16,DMNVL!$C$5:$D$36,2,0),"")</f>
        <v>T7</v>
      </c>
      <c r="G16" s="2">
        <v>50</v>
      </c>
      <c r="H16" s="2" t="str">
        <f>IFERROR(VLOOKUP(E16,DMNVL!$C$5:$E$36,3,0),"")</f>
        <v>kg</v>
      </c>
      <c r="I16" s="18">
        <v>10000</v>
      </c>
      <c r="J16" s="43" t="s">
        <v>42</v>
      </c>
      <c r="K16" s="18">
        <f t="shared" si="0"/>
        <v>500000</v>
      </c>
      <c r="L16" s="72"/>
    </row>
    <row r="17" spans="4:12">
      <c r="D17" s="71">
        <f>IF($E17="","",SUBTOTAL(103,$E$10:E17))</f>
        <v>8</v>
      </c>
      <c r="E17" s="2" t="s">
        <v>106</v>
      </c>
      <c r="F17" s="2" t="str">
        <f>IFERROR(VLOOKUP(E17,DMNVL!$C$5:$D$36,2,0),"")</f>
        <v>T8</v>
      </c>
      <c r="G17" s="2">
        <v>50</v>
      </c>
      <c r="H17" s="2" t="str">
        <f>IFERROR(VLOOKUP(E17,DMNVL!$C$5:$E$36,3,0),"")</f>
        <v>kg</v>
      </c>
      <c r="I17" s="18">
        <v>90000</v>
      </c>
      <c r="J17" s="43" t="s">
        <v>42</v>
      </c>
      <c r="K17" s="18">
        <f t="shared" si="0"/>
        <v>4500000</v>
      </c>
      <c r="L17" s="72"/>
    </row>
    <row r="18" spans="4:12">
      <c r="D18" s="71">
        <f>IF($E18="","",SUBTOTAL(103,$E$10:E18))</f>
        <v>9</v>
      </c>
      <c r="E18" s="2" t="s">
        <v>107</v>
      </c>
      <c r="F18" s="2" t="str">
        <f>IFERROR(VLOOKUP(E18,DMNVL!$C$5:$D$36,2,0),"")</f>
        <v>T9</v>
      </c>
      <c r="G18" s="2">
        <v>30</v>
      </c>
      <c r="H18" s="2" t="str">
        <f>IFERROR(VLOOKUP(E18,DMNVL!$C$5:$E$36,3,0),"")</f>
        <v>kg</v>
      </c>
      <c r="I18" s="18">
        <v>60000</v>
      </c>
      <c r="J18" s="43" t="s">
        <v>42</v>
      </c>
      <c r="K18" s="18">
        <f t="shared" si="0"/>
        <v>1800000</v>
      </c>
      <c r="L18" s="72"/>
    </row>
    <row r="19" spans="4:12">
      <c r="D19" s="71">
        <f>IF($E19="","",SUBTOTAL(103,$E$10:E19))</f>
        <v>10</v>
      </c>
      <c r="E19" s="2" t="s">
        <v>108</v>
      </c>
      <c r="F19" s="2" t="str">
        <f>IFERROR(VLOOKUP(E19,DMNVL!$C$5:$D$36,2,0),"")</f>
        <v>T10</v>
      </c>
      <c r="G19" s="2">
        <v>5</v>
      </c>
      <c r="H19" s="2" t="str">
        <f>IFERROR(VLOOKUP(E19,DMNVL!$C$5:$E$36,3,0),"")</f>
        <v>kg</v>
      </c>
      <c r="I19" s="18">
        <v>205000</v>
      </c>
      <c r="J19" s="43" t="s">
        <v>42</v>
      </c>
      <c r="K19" s="18">
        <f t="shared" si="0"/>
        <v>1025000</v>
      </c>
      <c r="L19" s="72"/>
    </row>
    <row r="20" spans="4:12">
      <c r="D20" s="71">
        <f>IF($E20="","",SUBTOTAL(103,$E$10:E20))</f>
        <v>11</v>
      </c>
      <c r="E20" s="2" t="s">
        <v>109</v>
      </c>
      <c r="F20" s="2" t="str">
        <f>IFERROR(VLOOKUP(E20,DMNVL!$C$5:$D$36,2,0),"")</f>
        <v>T11</v>
      </c>
      <c r="G20" s="2">
        <v>5</v>
      </c>
      <c r="H20" s="2" t="str">
        <f>IFERROR(VLOOKUP(E20,DMNVL!$C$5:$E$36,3,0),"")</f>
        <v>kg</v>
      </c>
      <c r="I20" s="18">
        <v>300000</v>
      </c>
      <c r="J20" s="43" t="s">
        <v>42</v>
      </c>
      <c r="K20" s="18">
        <f t="shared" si="0"/>
        <v>1500000</v>
      </c>
      <c r="L20" s="72"/>
    </row>
    <row r="21" spans="4:12">
      <c r="D21" s="71">
        <f>IF($E21="","",SUBTOTAL(103,$E$10:E21))</f>
        <v>12</v>
      </c>
      <c r="E21" s="2" t="s">
        <v>110</v>
      </c>
      <c r="F21" s="2" t="str">
        <f>IFERROR(VLOOKUP(E21,DMNVL!$C$5:$D$36,2,0),"")</f>
        <v>T12</v>
      </c>
      <c r="G21" s="2">
        <v>5</v>
      </c>
      <c r="H21" s="2" t="str">
        <f>IFERROR(VLOOKUP(E21,DMNVL!$C$5:$E$36,3,0),"")</f>
        <v>kg</v>
      </c>
      <c r="I21" s="18">
        <v>200000</v>
      </c>
      <c r="J21" s="43" t="s">
        <v>42</v>
      </c>
      <c r="K21" s="18">
        <f t="shared" si="0"/>
        <v>1000000</v>
      </c>
      <c r="L21" s="72"/>
    </row>
    <row r="22" spans="4:12">
      <c r="D22" s="71">
        <f>IF($E22="","",SUBTOTAL(103,$E$10:E22))</f>
        <v>13</v>
      </c>
      <c r="E22" s="2" t="s">
        <v>111</v>
      </c>
      <c r="F22" s="2" t="str">
        <f>IFERROR(VLOOKUP(E22,DMNVL!$C$5:$D$36,2,0),"")</f>
        <v>T13</v>
      </c>
      <c r="G22" s="2">
        <v>3</v>
      </c>
      <c r="H22" s="2" t="str">
        <f>IFERROR(VLOOKUP(E22,DMNVL!$C$5:$E$36,3,0),"")</f>
        <v>kg</v>
      </c>
      <c r="I22" s="18">
        <v>85000</v>
      </c>
      <c r="J22" s="43" t="s">
        <v>42</v>
      </c>
      <c r="K22" s="18">
        <f t="shared" si="0"/>
        <v>255000</v>
      </c>
      <c r="L22" s="72"/>
    </row>
    <row r="23" spans="4:12">
      <c r="D23" s="71">
        <f>IF($E23="","",SUBTOTAL(103,$E$10:E23))</f>
        <v>14</v>
      </c>
      <c r="E23" s="2" t="s">
        <v>112</v>
      </c>
      <c r="F23" s="2" t="str">
        <f>IFERROR(VLOOKUP(E23,DMNVL!$C$5:$D$36,2,0),"")</f>
        <v>T14</v>
      </c>
      <c r="G23" s="2">
        <v>3</v>
      </c>
      <c r="H23" s="2" t="str">
        <f>IFERROR(VLOOKUP(E23,DMNVL!$C$5:$E$36,3,0),"")</f>
        <v>kg</v>
      </c>
      <c r="I23" s="18">
        <v>60000</v>
      </c>
      <c r="J23" s="43" t="s">
        <v>42</v>
      </c>
      <c r="K23" s="18">
        <f t="shared" si="0"/>
        <v>180000</v>
      </c>
      <c r="L23" s="72"/>
    </row>
    <row r="24" spans="4:12">
      <c r="D24" s="71">
        <f>IF($E24="","",SUBTOTAL(103,$E$10:E24))</f>
        <v>15</v>
      </c>
      <c r="E24" s="2" t="s">
        <v>113</v>
      </c>
      <c r="F24" s="2" t="str">
        <f>IFERROR(VLOOKUP(E24,DMNVL!$C$5:$D$36,2,0),"")</f>
        <v>T15</v>
      </c>
      <c r="G24" s="2">
        <v>5</v>
      </c>
      <c r="H24" s="2" t="str">
        <f>IFERROR(VLOOKUP(E24,DMNVL!$C$5:$E$36,3,0),"")</f>
        <v>kg</v>
      </c>
      <c r="I24" s="18">
        <v>150000</v>
      </c>
      <c r="J24" s="43" t="s">
        <v>42</v>
      </c>
      <c r="K24" s="18">
        <f t="shared" si="0"/>
        <v>750000</v>
      </c>
      <c r="L24" s="72"/>
    </row>
    <row r="25" spans="4:12">
      <c r="D25" s="71">
        <f>IF($E25="","",SUBTOTAL(103,$E$10:E25))</f>
        <v>16</v>
      </c>
      <c r="E25" s="2" t="s">
        <v>117</v>
      </c>
      <c r="F25" s="2" t="str">
        <f>IFERROR(VLOOKUP(E25,DMNVL!$C$5:$D$36,2,0),"")</f>
        <v>T16</v>
      </c>
      <c r="G25" s="2">
        <v>2</v>
      </c>
      <c r="H25" s="2" t="str">
        <f>IFERROR(VLOOKUP(E25,DMNVL!$C$5:$E$36,3,0),"")</f>
        <v>kg</v>
      </c>
      <c r="I25" s="18">
        <v>250000</v>
      </c>
      <c r="J25" s="43" t="s">
        <v>42</v>
      </c>
      <c r="K25" s="18">
        <f t="shared" si="0"/>
        <v>500000</v>
      </c>
      <c r="L25" s="72"/>
    </row>
    <row r="26" spans="4:12">
      <c r="D26" s="71">
        <f>IF($E26="","",SUBTOTAL(103,$E$10:E26))</f>
        <v>17</v>
      </c>
      <c r="E26" s="2" t="s">
        <v>123</v>
      </c>
      <c r="F26" s="2" t="str">
        <f>IFERROR(VLOOKUP(E26,DMNVL!$C$5:$D$36,2,0),"")</f>
        <v>T17</v>
      </c>
      <c r="G26" s="2">
        <v>2</v>
      </c>
      <c r="H26" s="2" t="str">
        <f>IFERROR(VLOOKUP(E26,DMNVL!$C$5:$E$36,3,0),"")</f>
        <v>kg</v>
      </c>
      <c r="I26" s="18">
        <v>115000</v>
      </c>
      <c r="J26" s="43" t="s">
        <v>42</v>
      </c>
      <c r="K26" s="18">
        <f t="shared" si="0"/>
        <v>230000</v>
      </c>
      <c r="L26" s="72"/>
    </row>
    <row r="27" spans="4:12">
      <c r="D27" s="71">
        <f>IF($E27="","",SUBTOTAL(103,$E$10:E27))</f>
        <v>18</v>
      </c>
      <c r="E27" s="2" t="s">
        <v>116</v>
      </c>
      <c r="F27" s="2" t="str">
        <f>IFERROR(VLOOKUP(E27,DMNVL!$C$5:$D$36,2,0),"")</f>
        <v>T18</v>
      </c>
      <c r="G27" s="2">
        <v>2</v>
      </c>
      <c r="H27" s="2" t="str">
        <f>IFERROR(VLOOKUP(E27,DMNVL!$C$5:$E$36,3,0),"")</f>
        <v>hộp</v>
      </c>
      <c r="I27" s="18">
        <v>55000</v>
      </c>
      <c r="J27" s="43" t="s">
        <v>42</v>
      </c>
      <c r="K27" s="18">
        <f t="shared" si="0"/>
        <v>110000</v>
      </c>
      <c r="L27" s="72"/>
    </row>
    <row r="28" spans="4:12">
      <c r="D28" s="71">
        <f>IF($E28="","",SUBTOTAL(103,$E$10:E28))</f>
        <v>19</v>
      </c>
      <c r="E28" s="2" t="s">
        <v>114</v>
      </c>
      <c r="F28" s="2" t="str">
        <f>IFERROR(VLOOKUP(E28,DMNVL!$C$5:$D$36,2,0),"")</f>
        <v>T19</v>
      </c>
      <c r="G28" s="2">
        <v>2</v>
      </c>
      <c r="H28" s="2" t="str">
        <f>IFERROR(VLOOKUP(E28,DMNVL!$C$5:$E$36,3,0),"")</f>
        <v>hộp</v>
      </c>
      <c r="I28" s="18">
        <v>450000</v>
      </c>
      <c r="J28" s="43" t="s">
        <v>42</v>
      </c>
      <c r="K28" s="18">
        <f t="shared" si="0"/>
        <v>900000</v>
      </c>
      <c r="L28" s="72"/>
    </row>
    <row r="29" spans="4:12">
      <c r="D29" s="71">
        <f>IF($E29="","",SUBTOTAL(103,$E$10:E29))</f>
        <v>20</v>
      </c>
      <c r="E29" s="2" t="s">
        <v>118</v>
      </c>
      <c r="F29" s="2" t="str">
        <f>IFERROR(VLOOKUP(E29,DMNVL!$C$5:$D$36,2,0),"")</f>
        <v>T20</v>
      </c>
      <c r="G29" s="2">
        <v>2</v>
      </c>
      <c r="H29" s="2" t="str">
        <f>IFERROR(VLOOKUP(E29,DMNVL!$C$5:$E$36,3,0),"")</f>
        <v>hộp</v>
      </c>
      <c r="I29" s="18">
        <v>29000</v>
      </c>
      <c r="J29" s="43" t="s">
        <v>42</v>
      </c>
      <c r="K29" s="18">
        <f t="shared" si="0"/>
        <v>58000</v>
      </c>
      <c r="L29" s="72"/>
    </row>
    <row r="30" spans="4:12">
      <c r="D30" s="71">
        <f>IF($E30="","",SUBTOTAL(103,$E$10:E30))</f>
        <v>21</v>
      </c>
      <c r="E30" s="2" t="s">
        <v>119</v>
      </c>
      <c r="F30" s="2" t="str">
        <f>IFERROR(VLOOKUP(E30,DMNVL!$C$5:$D$36,2,0),"")</f>
        <v>T21</v>
      </c>
      <c r="G30" s="2">
        <v>2</v>
      </c>
      <c r="H30" s="2" t="str">
        <f>IFERROR(VLOOKUP(E30,DMNVL!$C$5:$E$36,3,0),"")</f>
        <v>hộp</v>
      </c>
      <c r="I30" s="18">
        <v>29000</v>
      </c>
      <c r="J30" s="43" t="s">
        <v>42</v>
      </c>
      <c r="K30" s="18">
        <f t="shared" si="0"/>
        <v>58000</v>
      </c>
      <c r="L30" s="72"/>
    </row>
    <row r="31" spans="4:12">
      <c r="D31" s="71">
        <f>IF($E31="","",SUBTOTAL(103,$E$10:E31))</f>
        <v>22</v>
      </c>
      <c r="E31" s="2" t="s">
        <v>120</v>
      </c>
      <c r="F31" s="2" t="str">
        <f>IFERROR(VLOOKUP(E31,DMNVL!$C$5:$D$36,2,0),"")</f>
        <v>T22</v>
      </c>
      <c r="G31" s="2">
        <v>1</v>
      </c>
      <c r="H31" s="2" t="str">
        <f>IFERROR(VLOOKUP(E31,DMNVL!$C$5:$E$36,3,0),"")</f>
        <v>hộp</v>
      </c>
      <c r="I31" s="18">
        <v>34000</v>
      </c>
      <c r="J31" s="43" t="s">
        <v>42</v>
      </c>
      <c r="K31" s="18">
        <f t="shared" si="0"/>
        <v>34000</v>
      </c>
      <c r="L31" s="72"/>
    </row>
    <row r="32" spans="4:12">
      <c r="D32" s="71">
        <f>IF($E32="","",SUBTOTAL(103,$E$10:E32))</f>
        <v>23</v>
      </c>
      <c r="E32" s="2" t="s">
        <v>115</v>
      </c>
      <c r="F32" s="2" t="str">
        <f>IFERROR(VLOOKUP(E32,DMNVL!$C$5:$D$36,2,0),"")</f>
        <v>T23</v>
      </c>
      <c r="G32" s="2">
        <v>4</v>
      </c>
      <c r="H32" s="2" t="str">
        <f>IFERROR(VLOOKUP(E32,DMNVL!$C$5:$E$36,3,0),"")</f>
        <v>hộp</v>
      </c>
      <c r="I32" s="18">
        <v>52000</v>
      </c>
      <c r="J32" s="43" t="s">
        <v>42</v>
      </c>
      <c r="K32" s="18">
        <f t="shared" si="0"/>
        <v>208000</v>
      </c>
      <c r="L32" s="72"/>
    </row>
    <row r="33" spans="4:12">
      <c r="D33" s="71">
        <f>IF($E33="","",SUBTOTAL(103,$E$10:E33))</f>
        <v>24</v>
      </c>
      <c r="E33" s="2" t="s">
        <v>121</v>
      </c>
      <c r="F33" s="2" t="str">
        <f>IFERROR(VLOOKUP(E33,DMNVL!$C$5:$D$36,2,0),"")</f>
        <v>T24</v>
      </c>
      <c r="G33" s="2">
        <v>3</v>
      </c>
      <c r="H33" s="2" t="str">
        <f>IFERROR(VLOOKUP(E33,DMNVL!$C$5:$E$36,3,0),"")</f>
        <v>hũ</v>
      </c>
      <c r="I33" s="18">
        <v>29000</v>
      </c>
      <c r="J33" s="43" t="s">
        <v>42</v>
      </c>
      <c r="K33" s="18">
        <f t="shared" si="0"/>
        <v>87000</v>
      </c>
      <c r="L33" s="72"/>
    </row>
    <row r="34" spans="4:12">
      <c r="D34" s="71">
        <f>IF($E34="","",SUBTOTAL(103,$E$10:E34))</f>
        <v>25</v>
      </c>
      <c r="E34" s="2" t="s">
        <v>124</v>
      </c>
      <c r="F34" s="2" t="str">
        <f>IFERROR(VLOOKUP(E34,DMNVL!$C$5:$D$36,2,0),"")</f>
        <v>T25</v>
      </c>
      <c r="G34" s="2">
        <v>5</v>
      </c>
      <c r="H34" s="2" t="str">
        <f>IFERROR(VLOOKUP(E34,DMNVL!$C$5:$E$36,3,0),"")</f>
        <v>chai</v>
      </c>
      <c r="I34" s="18">
        <v>135000</v>
      </c>
      <c r="J34" s="43" t="s">
        <v>42</v>
      </c>
      <c r="K34" s="18">
        <f t="shared" si="0"/>
        <v>675000</v>
      </c>
      <c r="L34" s="72"/>
    </row>
    <row r="35" spans="4:12">
      <c r="D35" s="71">
        <f>IF($E35="","",SUBTOTAL(103,$E$10:E35))</f>
        <v>26</v>
      </c>
      <c r="E35" s="2" t="s">
        <v>126</v>
      </c>
      <c r="F35" s="2" t="str">
        <f>IFERROR(VLOOKUP(E35,DMNVL!$C$5:$D$36,2,0),"")</f>
        <v>T26</v>
      </c>
      <c r="G35" s="2">
        <v>10</v>
      </c>
      <c r="H35" s="2" t="str">
        <f>IFERROR(VLOOKUP(E35,DMNVL!$C$5:$E$36,3,0),"")</f>
        <v>kg</v>
      </c>
      <c r="I35" s="18">
        <v>42000</v>
      </c>
      <c r="J35" s="43" t="s">
        <v>42</v>
      </c>
      <c r="K35" s="18">
        <f t="shared" si="0"/>
        <v>420000</v>
      </c>
      <c r="L35" s="72"/>
    </row>
    <row r="36" spans="4:12">
      <c r="D36" s="71">
        <f>IF($E36="","",SUBTOTAL(103,$E$10:E36))</f>
        <v>27</v>
      </c>
      <c r="E36" s="2" t="s">
        <v>127</v>
      </c>
      <c r="F36" s="2" t="str">
        <f>IFERROR(VLOOKUP(E36,DMNVL!$C$5:$D$36,2,0),"")</f>
        <v>T27</v>
      </c>
      <c r="G36" s="2">
        <v>10</v>
      </c>
      <c r="H36" s="2" t="str">
        <f>IFERROR(VLOOKUP(E36,DMNVL!$C$5:$E$36,3,0),"")</f>
        <v>kg</v>
      </c>
      <c r="I36" s="18">
        <v>21000</v>
      </c>
      <c r="J36" s="43" t="s">
        <v>42</v>
      </c>
      <c r="K36" s="18">
        <f t="shared" si="0"/>
        <v>210000</v>
      </c>
      <c r="L36" s="72"/>
    </row>
    <row r="37" spans="4:12">
      <c r="D37" s="71">
        <f>IF($E37="","",SUBTOTAL(103,$E$10:E37))</f>
        <v>28</v>
      </c>
      <c r="E37" s="2" t="s">
        <v>128</v>
      </c>
      <c r="F37" s="2" t="str">
        <f>IFERROR(VLOOKUP(E37,DMNVL!$C$5:$D$36,2,0),"")</f>
        <v>T28</v>
      </c>
      <c r="G37" s="2">
        <v>7000</v>
      </c>
      <c r="H37" s="2" t="str">
        <f>IFERROR(VLOOKUP(E37,DMNVL!$C$5:$E$36,3,0),"")</f>
        <v>cái</v>
      </c>
      <c r="I37" s="18">
        <v>700</v>
      </c>
      <c r="J37" s="43" t="s">
        <v>42</v>
      </c>
      <c r="K37" s="18">
        <f t="shared" si="0"/>
        <v>4900000</v>
      </c>
      <c r="L37" s="72"/>
    </row>
    <row r="38" spans="4:12">
      <c r="D38" s="71">
        <f>IF($E38="","",SUBTOTAL(103,$E$10:E38))</f>
        <v>29</v>
      </c>
      <c r="E38" s="2" t="s">
        <v>130</v>
      </c>
      <c r="F38" s="2" t="str">
        <f>IFERROR(VLOOKUP(E38,DMNVL!$C$5:$D$36,2,0),"")</f>
        <v>T29</v>
      </c>
      <c r="G38" s="2">
        <v>7000</v>
      </c>
      <c r="H38" s="2" t="str">
        <f>IFERROR(VLOOKUP(E38,DMNVL!$C$5:$E$36,3,0),"")</f>
        <v>cái</v>
      </c>
      <c r="I38" s="18">
        <v>600</v>
      </c>
      <c r="J38" s="43" t="s">
        <v>42</v>
      </c>
      <c r="K38" s="18">
        <f t="shared" si="0"/>
        <v>4200000</v>
      </c>
      <c r="L38" s="72"/>
    </row>
    <row r="39" spans="4:12">
      <c r="D39" s="71">
        <f>IF($E39="","",SUBTOTAL(103,$E$10:E39))</f>
        <v>30</v>
      </c>
      <c r="E39" s="2" t="s">
        <v>131</v>
      </c>
      <c r="F39" s="2" t="str">
        <f>IFERROR(VLOOKUP(E39,DMNVL!$C$5:$D$36,2,0),"")</f>
        <v>T30</v>
      </c>
      <c r="G39" s="2">
        <v>7000</v>
      </c>
      <c r="H39" s="2" t="str">
        <f>IFERROR(VLOOKUP(E39,DMNVL!$C$5:$E$36,3,0),"")</f>
        <v>cái</v>
      </c>
      <c r="I39" s="18">
        <v>500</v>
      </c>
      <c r="J39" s="43" t="s">
        <v>42</v>
      </c>
      <c r="K39" s="18">
        <f t="shared" si="0"/>
        <v>3500000</v>
      </c>
      <c r="L39" s="72"/>
    </row>
    <row r="40" spans="4:12">
      <c r="D40" s="71">
        <f>IF($E40="","",SUBTOTAL(103,$E$10:E40))</f>
        <v>31</v>
      </c>
      <c r="E40" s="2" t="s">
        <v>132</v>
      </c>
      <c r="F40" s="2" t="str">
        <f>IFERROR(VLOOKUP(E40,DMNVL!$C$5:$D$36,2,0),"")</f>
        <v>T31</v>
      </c>
      <c r="G40" s="2">
        <v>7000</v>
      </c>
      <c r="H40" s="2" t="str">
        <f>IFERROR(VLOOKUP(E40,DMNVL!$C$5:$E$36,3,0),"")</f>
        <v>kg</v>
      </c>
      <c r="I40" s="18">
        <v>200</v>
      </c>
      <c r="J40" s="43" t="s">
        <v>42</v>
      </c>
      <c r="K40" s="18">
        <f t="shared" si="0"/>
        <v>1400000</v>
      </c>
      <c r="L40" s="72"/>
    </row>
    <row r="41" spans="4:12">
      <c r="D41" s="74" t="s">
        <v>136</v>
      </c>
      <c r="E41" s="74"/>
      <c r="F41" s="74"/>
      <c r="G41" s="74"/>
      <c r="H41" s="74"/>
      <c r="I41" s="75"/>
      <c r="J41" s="84">
        <f>SUM(K10:K40)</f>
        <v>35830000</v>
      </c>
      <c r="K41" s="85"/>
      <c r="L41" s="61"/>
    </row>
  </sheetData>
  <mergeCells count="2">
    <mergeCell ref="F2:I3"/>
    <mergeCell ref="K2:L3"/>
  </mergeCells>
  <dataValidations count="4">
    <dataValidation type="list" allowBlank="1" showInputMessage="1" showErrorMessage="1" errorTitle="Error" sqref="F10:F40" xr:uid="{00000000-0002-0000-0400-000000000000}">
      <formula1>$F$10:$F$40</formula1>
    </dataValidation>
    <dataValidation type="list" allowBlank="1" showInputMessage="1" showErrorMessage="1" errorTitle="Error" sqref="E10:E40" xr:uid="{00000000-0002-0000-0400-000001000000}">
      <formula1>MH</formula1>
    </dataValidation>
    <dataValidation type="list" allowBlank="1" showInputMessage="1" showErrorMessage="1" errorTitle="Error" sqref="H10:H40" xr:uid="{00000000-0002-0000-0400-000002000000}">
      <formula1>"thùng, kg, hộp, hũ, cái, chai"</formula1>
    </dataValidation>
    <dataValidation allowBlank="1" showInputMessage="1" showErrorMessage="1" errorTitle="Error" sqref="I10:I40" xr:uid="{00000000-0002-0000-0400-000003000000}"/>
  </dataValidations>
  <hyperlinks>
    <hyperlink ref="K2:L3" location="MENU!A1" display="MENU" xr:uid="{00000000-0004-0000-0400-000000000000}"/>
  </hyperlinks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C2:L41"/>
  <sheetViews>
    <sheetView topLeftCell="A22" workbookViewId="0">
      <selection activeCell="F2" sqref="F2:I3"/>
    </sheetView>
  </sheetViews>
  <sheetFormatPr defaultRowHeight="15"/>
  <cols>
    <col min="2" max="2" width="4" bestFit="1" customWidth="1"/>
    <col min="3" max="3" width="12.625" customWidth="1"/>
    <col min="4" max="4" width="10.25" bestFit="1" customWidth="1"/>
    <col min="5" max="5" width="16.125" bestFit="1" customWidth="1"/>
    <col min="6" max="6" width="14.875" bestFit="1" customWidth="1"/>
    <col min="7" max="7" width="7.375" bestFit="1" customWidth="1"/>
    <col min="8" max="8" width="9.25" bestFit="1" customWidth="1"/>
    <col min="9" max="9" width="13.75" bestFit="1" customWidth="1"/>
    <col min="10" max="10" width="15.625" bestFit="1" customWidth="1"/>
    <col min="11" max="11" width="16.25" bestFit="1" customWidth="1"/>
    <col min="12" max="12" width="11.125" customWidth="1"/>
  </cols>
  <sheetData>
    <row r="2" spans="3:12" ht="15" customHeight="1">
      <c r="C2" t="s">
        <v>168</v>
      </c>
      <c r="D2">
        <v>9</v>
      </c>
      <c r="F2" s="121" t="s">
        <v>134</v>
      </c>
      <c r="G2" s="121"/>
      <c r="H2" s="121"/>
      <c r="I2" s="121"/>
    </row>
    <row r="3" spans="3:12" ht="15" customHeight="1">
      <c r="C3" t="s">
        <v>169</v>
      </c>
      <c r="D3">
        <v>2018</v>
      </c>
      <c r="F3" s="121"/>
      <c r="G3" s="121"/>
      <c r="H3" s="121"/>
      <c r="I3" s="121"/>
    </row>
    <row r="6" spans="3:12">
      <c r="D6" t="s">
        <v>283</v>
      </c>
      <c r="E6" s="3">
        <f>DATE(Năm1,thang2,15)</f>
        <v>43358</v>
      </c>
    </row>
    <row r="9" spans="3:12">
      <c r="D9" s="65" t="s">
        <v>1</v>
      </c>
      <c r="E9" s="65" t="s">
        <v>82</v>
      </c>
      <c r="F9" s="65" t="s">
        <v>83</v>
      </c>
      <c r="G9" s="65" t="s">
        <v>86</v>
      </c>
      <c r="H9" s="65" t="s">
        <v>85</v>
      </c>
      <c r="I9" s="65" t="s">
        <v>84</v>
      </c>
      <c r="J9" s="65" t="s">
        <v>135</v>
      </c>
      <c r="K9" s="65" t="s">
        <v>87</v>
      </c>
      <c r="L9" s="67" t="s">
        <v>138</v>
      </c>
    </row>
    <row r="10" spans="3:12">
      <c r="D10" s="49">
        <f>IF($E10="","",SUBTOTAL(103,$E$10:E10))</f>
        <v>1</v>
      </c>
      <c r="E10" s="2" t="str">
        <f>DMNVL!C6</f>
        <v>Trà bí đao</v>
      </c>
      <c r="F10" s="2" t="str">
        <f>IFERROR(VLOOKUP(E10,DMNVL!$C$5:$D$36,2,0),"")</f>
        <v>T1</v>
      </c>
      <c r="G10" s="2">
        <v>3</v>
      </c>
      <c r="H10" s="2" t="str">
        <f>IFERROR(VLOOKUP(E10,DMNVL!$C$5:$E$36,3,0),"")</f>
        <v>thùng</v>
      </c>
      <c r="I10" s="18">
        <f>BNNVL!I10</f>
        <v>120000</v>
      </c>
      <c r="J10" s="43" t="s">
        <v>38</v>
      </c>
      <c r="K10" s="18">
        <f>I10*G10</f>
        <v>360000</v>
      </c>
      <c r="L10" s="72"/>
    </row>
    <row r="11" spans="3:12">
      <c r="D11" s="49">
        <f>IF($E11="","",SUBTOTAL(103,$E$10:E11))</f>
        <v>2</v>
      </c>
      <c r="E11" s="2" t="str">
        <f>DMNVL!C7</f>
        <v>Trà Olong</v>
      </c>
      <c r="F11" s="2" t="str">
        <f>IFERROR(VLOOKUP(E11,DMNVL!$C$5:$D$36,2,0),"")</f>
        <v>T2</v>
      </c>
      <c r="G11" s="2">
        <v>3</v>
      </c>
      <c r="H11" s="2" t="str">
        <f>IFERROR(VLOOKUP(E11,DMNVL!$C$5:$E$36,3,0),"")</f>
        <v>kg</v>
      </c>
      <c r="I11" s="18">
        <f>BNNVL!I11</f>
        <v>180000</v>
      </c>
      <c r="J11" s="43" t="s">
        <v>38</v>
      </c>
      <c r="K11" s="18">
        <f t="shared" ref="K11:K40" si="0">I11*G11</f>
        <v>540000</v>
      </c>
      <c r="L11" s="72"/>
    </row>
    <row r="12" spans="3:12">
      <c r="D12" s="49">
        <f>IF($E12="","",SUBTOTAL(103,$E$10:E12))</f>
        <v>3</v>
      </c>
      <c r="E12" s="2" t="str">
        <f>DMNVL!C8</f>
        <v>Trà Alisan</v>
      </c>
      <c r="F12" s="2" t="str">
        <f>IFERROR(VLOOKUP(E12,DMNVL!$C$5:$D$36,2,0),"")</f>
        <v>T3</v>
      </c>
      <c r="G12" s="2">
        <v>3</v>
      </c>
      <c r="H12" s="2" t="str">
        <f>IFERROR(VLOOKUP(E12,DMNVL!$C$5:$E$36,3,0),"")</f>
        <v>kg</v>
      </c>
      <c r="I12" s="18">
        <f>BNNVL!I12</f>
        <v>750000</v>
      </c>
      <c r="J12" s="43" t="s">
        <v>38</v>
      </c>
      <c r="K12" s="18">
        <f t="shared" si="0"/>
        <v>2250000</v>
      </c>
      <c r="L12" s="72"/>
    </row>
    <row r="13" spans="3:12">
      <c r="D13" s="49">
        <f>IF($E13="","",SUBTOTAL(103,$E$10:E13))</f>
        <v>4</v>
      </c>
      <c r="E13" s="2" t="str">
        <f>DMNVL!C9</f>
        <v>Trà Earl Gray</v>
      </c>
      <c r="F13" s="2" t="str">
        <f>IFERROR(VLOOKUP(E13,DMNVL!$C$5:$D$36,2,0),"")</f>
        <v>T4</v>
      </c>
      <c r="G13" s="2">
        <v>4</v>
      </c>
      <c r="H13" s="2" t="str">
        <f>IFERROR(VLOOKUP(E13,DMNVL!$C$5:$E$36,3,0),"")</f>
        <v>hộp</v>
      </c>
      <c r="I13" s="18">
        <f>BNNVL!I13</f>
        <v>60000</v>
      </c>
      <c r="J13" s="43" t="s">
        <v>38</v>
      </c>
      <c r="K13" s="18">
        <f t="shared" si="0"/>
        <v>240000</v>
      </c>
      <c r="L13" s="72"/>
    </row>
    <row r="14" spans="3:12">
      <c r="D14" s="49">
        <f>IF($E14="","",SUBTOTAL(103,$E$10:E14))</f>
        <v>5</v>
      </c>
      <c r="E14" s="2" t="str">
        <f>DMNVL!C10</f>
        <v>Trà đen</v>
      </c>
      <c r="F14" s="2" t="str">
        <f>IFERROR(VLOOKUP(E14,DMNVL!$C$5:$D$36,2,0),"")</f>
        <v>T5</v>
      </c>
      <c r="G14" s="2">
        <v>3</v>
      </c>
      <c r="H14" s="2" t="str">
        <f>IFERROR(VLOOKUP(E14,DMNVL!$C$5:$E$36,3,0),"")</f>
        <v>kg</v>
      </c>
      <c r="I14" s="18">
        <f>BNNVL!I14</f>
        <v>260000</v>
      </c>
      <c r="J14" s="43" t="s">
        <v>38</v>
      </c>
      <c r="K14" s="18">
        <f t="shared" si="0"/>
        <v>780000</v>
      </c>
      <c r="L14" s="72"/>
    </row>
    <row r="15" spans="3:12">
      <c r="D15" s="49">
        <f>IF($E15="","",SUBTOTAL(103,$E$10:E15))</f>
        <v>6</v>
      </c>
      <c r="E15" s="2" t="str">
        <f>DMNVL!C11</f>
        <v>Matcha</v>
      </c>
      <c r="F15" s="2" t="str">
        <f>IFERROR(VLOOKUP(E15,DMNVL!$C$5:$D$36,2,0),"")</f>
        <v>T6</v>
      </c>
      <c r="G15" s="2">
        <v>9</v>
      </c>
      <c r="H15" s="2" t="str">
        <f>IFERROR(VLOOKUP(E15,DMNVL!$C$5:$E$36,3,0),"")</f>
        <v>kg</v>
      </c>
      <c r="I15" s="18">
        <f>BNNVL!I15</f>
        <v>200000</v>
      </c>
      <c r="J15" s="43" t="s">
        <v>38</v>
      </c>
      <c r="K15" s="18">
        <f t="shared" si="0"/>
        <v>1800000</v>
      </c>
      <c r="L15" s="72"/>
    </row>
    <row r="16" spans="3:12">
      <c r="D16" s="49">
        <f>IF($E16="","",SUBTOTAL(103,$E$10:E16))</f>
        <v>7</v>
      </c>
      <c r="E16" s="2" t="str">
        <f>DMNVL!C12</f>
        <v>Đường</v>
      </c>
      <c r="F16" s="2" t="str">
        <f>IFERROR(VLOOKUP(E16,DMNVL!$C$5:$D$36,2,0),"")</f>
        <v>T7</v>
      </c>
      <c r="G16" s="2">
        <v>45</v>
      </c>
      <c r="H16" s="2" t="str">
        <f>IFERROR(VLOOKUP(E16,DMNVL!$C$5:$E$36,3,0),"")</f>
        <v>kg</v>
      </c>
      <c r="I16" s="18">
        <f>BNNVL!I16</f>
        <v>10000</v>
      </c>
      <c r="J16" s="43" t="s">
        <v>38</v>
      </c>
      <c r="K16" s="18">
        <f t="shared" si="0"/>
        <v>450000</v>
      </c>
      <c r="L16" s="72"/>
    </row>
    <row r="17" spans="4:12">
      <c r="D17" s="49">
        <f>IF($E17="","",SUBTOTAL(103,$E$10:E17))</f>
        <v>8</v>
      </c>
      <c r="E17" s="2" t="str">
        <f>DMNVL!C13</f>
        <v>Bột trà sữa</v>
      </c>
      <c r="F17" s="2" t="str">
        <f>IFERROR(VLOOKUP(E17,DMNVL!$C$5:$D$36,2,0),"")</f>
        <v>T8</v>
      </c>
      <c r="G17" s="2">
        <v>50</v>
      </c>
      <c r="H17" s="2" t="str">
        <f>IFERROR(VLOOKUP(E17,DMNVL!$C$5:$E$36,3,0),"")</f>
        <v>kg</v>
      </c>
      <c r="I17" s="18">
        <f>BNNVL!I17</f>
        <v>90000</v>
      </c>
      <c r="J17" s="43" t="s">
        <v>38</v>
      </c>
      <c r="K17" s="18">
        <f t="shared" si="0"/>
        <v>4500000</v>
      </c>
      <c r="L17" s="72"/>
    </row>
    <row r="18" spans="4:12">
      <c r="D18" s="49">
        <f>IF($E18="","",SUBTOTAL(103,$E$10:E18))</f>
        <v>9</v>
      </c>
      <c r="E18" s="2" t="str">
        <f>DMNVL!C14</f>
        <v>Bột kem mặn</v>
      </c>
      <c r="F18" s="2" t="str">
        <f>IFERROR(VLOOKUP(E18,DMNVL!$C$5:$D$36,2,0),"")</f>
        <v>T9</v>
      </c>
      <c r="G18" s="2">
        <v>26</v>
      </c>
      <c r="H18" s="2" t="str">
        <f>IFERROR(VLOOKUP(E18,DMNVL!$C$5:$E$36,3,0),"")</f>
        <v>kg</v>
      </c>
      <c r="I18" s="18">
        <f>BNNVL!I18</f>
        <v>60000</v>
      </c>
      <c r="J18" s="43" t="s">
        <v>38</v>
      </c>
      <c r="K18" s="18">
        <f t="shared" si="0"/>
        <v>1560000</v>
      </c>
      <c r="L18" s="72"/>
    </row>
    <row r="19" spans="4:12">
      <c r="D19" s="49">
        <f>IF($E19="","",SUBTOTAL(103,$E$10:E19))</f>
        <v>10</v>
      </c>
      <c r="E19" s="2" t="str">
        <f>DMNVL!C15</f>
        <v>Bột chocolate</v>
      </c>
      <c r="F19" s="2" t="str">
        <f>IFERROR(VLOOKUP(E19,DMNVL!$C$5:$D$36,2,0),"")</f>
        <v>T10</v>
      </c>
      <c r="G19" s="2">
        <v>4</v>
      </c>
      <c r="H19" s="2" t="str">
        <f>IFERROR(VLOOKUP(E19,DMNVL!$C$5:$E$36,3,0),"")</f>
        <v>kg</v>
      </c>
      <c r="I19" s="18">
        <f>BNNVL!I19</f>
        <v>205000</v>
      </c>
      <c r="J19" s="43" t="s">
        <v>38</v>
      </c>
      <c r="K19" s="18">
        <f t="shared" si="0"/>
        <v>820000</v>
      </c>
      <c r="L19" s="72"/>
    </row>
    <row r="20" spans="4:12">
      <c r="D20" s="49">
        <f>IF($E20="","",SUBTOTAL(103,$E$10:E20))</f>
        <v>11</v>
      </c>
      <c r="E20" s="2" t="str">
        <f>DMNVL!C16</f>
        <v>Bột sương sáo</v>
      </c>
      <c r="F20" s="2" t="str">
        <f>IFERROR(VLOOKUP(E20,DMNVL!$C$5:$D$36,2,0),"")</f>
        <v>T11</v>
      </c>
      <c r="G20" s="2">
        <v>3</v>
      </c>
      <c r="H20" s="2" t="str">
        <f>IFERROR(VLOOKUP(E20,DMNVL!$C$5:$E$36,3,0),"")</f>
        <v>kg</v>
      </c>
      <c r="I20" s="18">
        <f>BNNVL!I20</f>
        <v>300000</v>
      </c>
      <c r="J20" s="43" t="s">
        <v>38</v>
      </c>
      <c r="K20" s="18">
        <f t="shared" si="0"/>
        <v>900000</v>
      </c>
      <c r="L20" s="72"/>
    </row>
    <row r="21" spans="4:12">
      <c r="D21" s="49">
        <f>IF($E21="","",SUBTOTAL(103,$E$10:E21))</f>
        <v>12</v>
      </c>
      <c r="E21" s="2" t="str">
        <f>DMNVL!C17</f>
        <v>Bột khoai môn</v>
      </c>
      <c r="F21" s="2" t="str">
        <f>IFERROR(VLOOKUP(E21,DMNVL!$C$5:$D$36,2,0),"")</f>
        <v>T12</v>
      </c>
      <c r="G21" s="2">
        <v>4</v>
      </c>
      <c r="H21" s="2" t="str">
        <f>IFERROR(VLOOKUP(E21,DMNVL!$C$5:$E$36,3,0),"")</f>
        <v>kg</v>
      </c>
      <c r="I21" s="18">
        <f>BNNVL!I21</f>
        <v>200000</v>
      </c>
      <c r="J21" s="43" t="s">
        <v>38</v>
      </c>
      <c r="K21" s="18">
        <f t="shared" si="0"/>
        <v>800000</v>
      </c>
      <c r="L21" s="72"/>
    </row>
    <row r="22" spans="4:12">
      <c r="D22" s="49">
        <f>IF($E22="","",SUBTOTAL(103,$E$10:E22))</f>
        <v>13</v>
      </c>
      <c r="E22" s="2" t="str">
        <f>DMNVL!C18</f>
        <v>Bột thạch dừa</v>
      </c>
      <c r="F22" s="2" t="str">
        <f>IFERROR(VLOOKUP(E22,DMNVL!$C$5:$D$36,2,0),"")</f>
        <v>T13</v>
      </c>
      <c r="G22" s="2">
        <v>1</v>
      </c>
      <c r="H22" s="2" t="str">
        <f>IFERROR(VLOOKUP(E22,DMNVL!$C$5:$E$36,3,0),"")</f>
        <v>kg</v>
      </c>
      <c r="I22" s="18">
        <f>BNNVL!I22</f>
        <v>85000</v>
      </c>
      <c r="J22" s="43" t="s">
        <v>38</v>
      </c>
      <c r="K22" s="18">
        <f t="shared" si="0"/>
        <v>85000</v>
      </c>
      <c r="L22" s="72"/>
    </row>
    <row r="23" spans="4:12">
      <c r="D23" s="49">
        <f>IF($E23="","",SUBTOTAL(103,$E$10:E23))</f>
        <v>14</v>
      </c>
      <c r="E23" s="2" t="str">
        <f>DMNVL!C19</f>
        <v>Bột thạch rau câu</v>
      </c>
      <c r="F23" s="2" t="str">
        <f>IFERROR(VLOOKUP(E23,DMNVL!$C$5:$D$36,2,0),"")</f>
        <v>T14</v>
      </c>
      <c r="G23" s="2">
        <v>2</v>
      </c>
      <c r="H23" s="2" t="str">
        <f>IFERROR(VLOOKUP(E23,DMNVL!$C$5:$E$36,3,0),"")</f>
        <v>kg</v>
      </c>
      <c r="I23" s="18">
        <f>BNNVL!I23</f>
        <v>60000</v>
      </c>
      <c r="J23" s="43" t="s">
        <v>38</v>
      </c>
      <c r="K23" s="18">
        <f t="shared" si="0"/>
        <v>120000</v>
      </c>
      <c r="L23" s="72"/>
    </row>
    <row r="24" spans="4:12">
      <c r="D24" s="49">
        <f>IF($E24="","",SUBTOTAL(103,$E$10:E24))</f>
        <v>15</v>
      </c>
      <c r="E24" s="2" t="str">
        <f>DMNVL!C20</f>
        <v>Bột cà phê</v>
      </c>
      <c r="F24" s="2" t="str">
        <f>IFERROR(VLOOKUP(E24,DMNVL!$C$5:$D$36,2,0),"")</f>
        <v>T15</v>
      </c>
      <c r="G24" s="2">
        <v>4</v>
      </c>
      <c r="H24" s="2" t="str">
        <f>IFERROR(VLOOKUP(E24,DMNVL!$C$5:$E$36,3,0),"")</f>
        <v>kg</v>
      </c>
      <c r="I24" s="18">
        <f>BNNVL!I24</f>
        <v>150000</v>
      </c>
      <c r="J24" s="43" t="s">
        <v>38</v>
      </c>
      <c r="K24" s="18">
        <f t="shared" si="0"/>
        <v>600000</v>
      </c>
      <c r="L24" s="72"/>
    </row>
    <row r="25" spans="4:12">
      <c r="D25" s="49">
        <f>IF($E25="","",SUBTOTAL(103,$E$10:E25))</f>
        <v>16</v>
      </c>
      <c r="E25" s="2" t="str">
        <f>DMNVL!C21</f>
        <v>Hạt é</v>
      </c>
      <c r="F25" s="2" t="str">
        <f>IFERROR(VLOOKUP(E25,DMNVL!$C$5:$D$36,2,0),"")</f>
        <v>T16</v>
      </c>
      <c r="G25" s="2">
        <v>2</v>
      </c>
      <c r="H25" s="2" t="str">
        <f>IFERROR(VLOOKUP(E25,DMNVL!$C$5:$E$36,3,0),"")</f>
        <v>kg</v>
      </c>
      <c r="I25" s="18">
        <f>BNNVL!I25</f>
        <v>250000</v>
      </c>
      <c r="J25" s="43" t="s">
        <v>38</v>
      </c>
      <c r="K25" s="18">
        <f t="shared" si="0"/>
        <v>500000</v>
      </c>
      <c r="L25" s="72"/>
    </row>
    <row r="26" spans="4:12">
      <c r="D26" s="49">
        <f>IF($E26="","",SUBTOTAL(103,$E$10:E26))</f>
        <v>17</v>
      </c>
      <c r="E26" s="2" t="str">
        <f>DMNVL!C22</f>
        <v xml:space="preserve">Đậu đỏ </v>
      </c>
      <c r="F26" s="2" t="str">
        <f>IFERROR(VLOOKUP(E26,DMNVL!$C$5:$D$36,2,0),"")</f>
        <v>T17</v>
      </c>
      <c r="G26" s="2">
        <v>2</v>
      </c>
      <c r="H26" s="2" t="str">
        <f>IFERROR(VLOOKUP(E26,DMNVL!$C$5:$E$36,3,0),"")</f>
        <v>kg</v>
      </c>
      <c r="I26" s="18">
        <f>BNNVL!I26</f>
        <v>115000</v>
      </c>
      <c r="J26" s="43" t="s">
        <v>38</v>
      </c>
      <c r="K26" s="18">
        <f t="shared" si="0"/>
        <v>230000</v>
      </c>
      <c r="L26" s="72"/>
    </row>
    <row r="27" spans="4:12">
      <c r="D27" s="49">
        <f>IF($E27="","",SUBTOTAL(103,$E$10:E27))</f>
        <v>18</v>
      </c>
      <c r="E27" s="2" t="str">
        <f>DMNVL!C23</f>
        <v>Hồng</v>
      </c>
      <c r="F27" s="2" t="str">
        <f>IFERROR(VLOOKUP(E27,DMNVL!$C$5:$D$36,2,0),"")</f>
        <v>T18</v>
      </c>
      <c r="G27" s="2">
        <v>1</v>
      </c>
      <c r="H27" s="2" t="str">
        <f>IFERROR(VLOOKUP(E27,DMNVL!$C$5:$E$36,3,0),"")</f>
        <v>hộp</v>
      </c>
      <c r="I27" s="18">
        <f>BNNVL!I27</f>
        <v>55000</v>
      </c>
      <c r="J27" s="43" t="s">
        <v>38</v>
      </c>
      <c r="K27" s="18">
        <f t="shared" si="0"/>
        <v>55000</v>
      </c>
      <c r="L27" s="72"/>
    </row>
    <row r="28" spans="4:12">
      <c r="D28" s="49">
        <f>IF($E28="","",SUBTOTAL(103,$E$10:E28))</f>
        <v>19</v>
      </c>
      <c r="E28" s="2" t="str">
        <f>DMNVL!C24</f>
        <v>Chanh dây</v>
      </c>
      <c r="F28" s="2" t="str">
        <f>IFERROR(VLOOKUP(E28,DMNVL!$C$5:$D$36,2,0),"")</f>
        <v>T19</v>
      </c>
      <c r="G28" s="2">
        <v>2</v>
      </c>
      <c r="H28" s="2" t="str">
        <f>IFERROR(VLOOKUP(E28,DMNVL!$C$5:$E$36,3,0),"")</f>
        <v>hộp</v>
      </c>
      <c r="I28" s="18">
        <f>BNNVL!I28</f>
        <v>450000</v>
      </c>
      <c r="J28" s="43" t="s">
        <v>38</v>
      </c>
      <c r="K28" s="18">
        <f t="shared" si="0"/>
        <v>900000</v>
      </c>
      <c r="L28" s="72"/>
    </row>
    <row r="29" spans="4:12">
      <c r="D29" s="49">
        <f>IF($E29="","",SUBTOTAL(103,$E$10:E29))</f>
        <v>20</v>
      </c>
      <c r="E29" s="2" t="str">
        <f>DMNVL!C25</f>
        <v>Vải</v>
      </c>
      <c r="F29" s="2" t="str">
        <f>IFERROR(VLOOKUP(E29,DMNVL!$C$5:$D$36,2,0),"")</f>
        <v>T20</v>
      </c>
      <c r="G29" s="2">
        <v>1</v>
      </c>
      <c r="H29" s="2" t="str">
        <f>IFERROR(VLOOKUP(E29,DMNVL!$C$5:$E$36,3,0),"")</f>
        <v>hộp</v>
      </c>
      <c r="I29" s="18">
        <f>BNNVL!I29</f>
        <v>29000</v>
      </c>
      <c r="J29" s="43" t="s">
        <v>38</v>
      </c>
      <c r="K29" s="18">
        <f t="shared" si="0"/>
        <v>29000</v>
      </c>
      <c r="L29" s="72"/>
    </row>
    <row r="30" spans="4:12">
      <c r="D30" s="49">
        <f>IF($E30="","",SUBTOTAL(103,$E$10:E30))</f>
        <v>21</v>
      </c>
      <c r="E30" s="2" t="str">
        <f>DMNVL!C26</f>
        <v>Xoài</v>
      </c>
      <c r="F30" s="2" t="str">
        <f>IFERROR(VLOOKUP(E30,DMNVL!$C$5:$D$36,2,0),"")</f>
        <v>T21</v>
      </c>
      <c r="G30" s="2">
        <v>2</v>
      </c>
      <c r="H30" s="2" t="str">
        <f>IFERROR(VLOOKUP(E30,DMNVL!$C$5:$E$36,3,0),"")</f>
        <v>hộp</v>
      </c>
      <c r="I30" s="18">
        <f>BNNVL!I30</f>
        <v>29000</v>
      </c>
      <c r="J30" s="43" t="s">
        <v>38</v>
      </c>
      <c r="K30" s="18">
        <f t="shared" si="0"/>
        <v>58000</v>
      </c>
      <c r="L30" s="72"/>
    </row>
    <row r="31" spans="4:12">
      <c r="D31" s="49">
        <f>IF($E31="","",SUBTOTAL(103,$E$10:E31))</f>
        <v>22</v>
      </c>
      <c r="E31" s="2" t="str">
        <f>DMNVL!C27</f>
        <v>Nha đam</v>
      </c>
      <c r="F31" s="2" t="str">
        <f>IFERROR(VLOOKUP(E31,DMNVL!$C$5:$D$36,2,0),"")</f>
        <v>T22</v>
      </c>
      <c r="G31" s="2">
        <v>1</v>
      </c>
      <c r="H31" s="2" t="str">
        <f>IFERROR(VLOOKUP(E31,DMNVL!$C$5:$E$36,3,0),"")</f>
        <v>hộp</v>
      </c>
      <c r="I31" s="18">
        <f>BNNVL!I31</f>
        <v>34000</v>
      </c>
      <c r="J31" s="43" t="s">
        <v>38</v>
      </c>
      <c r="K31" s="18">
        <f t="shared" si="0"/>
        <v>34000</v>
      </c>
      <c r="L31" s="72"/>
    </row>
    <row r="32" spans="4:12">
      <c r="D32" s="49">
        <f>IF($E32="","",SUBTOTAL(103,$E$10:E32))</f>
        <v>23</v>
      </c>
      <c r="E32" s="2" t="str">
        <f>DMNVL!C28</f>
        <v xml:space="preserve">Đào </v>
      </c>
      <c r="F32" s="2" t="str">
        <f>IFERROR(VLOOKUP(E32,DMNVL!$C$5:$D$36,2,0),"")</f>
        <v>T23</v>
      </c>
      <c r="G32" s="2">
        <v>3</v>
      </c>
      <c r="H32" s="2" t="str">
        <f>IFERROR(VLOOKUP(E32,DMNVL!$C$5:$E$36,3,0),"")</f>
        <v>hộp</v>
      </c>
      <c r="I32" s="18">
        <f>BNNVL!I32</f>
        <v>52000</v>
      </c>
      <c r="J32" s="43" t="s">
        <v>38</v>
      </c>
      <c r="K32" s="18">
        <f t="shared" si="0"/>
        <v>156000</v>
      </c>
      <c r="L32" s="72"/>
    </row>
    <row r="33" spans="4:12">
      <c r="D33" s="49">
        <f>IF($E33="","",SUBTOTAL(103,$E$10:E33))</f>
        <v>24</v>
      </c>
      <c r="E33" s="2" t="str">
        <f>DMNVL!C29</f>
        <v>Thạch trái cây</v>
      </c>
      <c r="F33" s="2" t="str">
        <f>IFERROR(VLOOKUP(E33,DMNVL!$C$5:$D$36,2,0),"")</f>
        <v>T24</v>
      </c>
      <c r="G33" s="2">
        <v>2</v>
      </c>
      <c r="H33" s="2" t="str">
        <f>IFERROR(VLOOKUP(E33,DMNVL!$C$5:$E$36,3,0),"")</f>
        <v>hũ</v>
      </c>
      <c r="I33" s="18">
        <f>BNNVL!I33</f>
        <v>29000</v>
      </c>
      <c r="J33" s="43" t="s">
        <v>38</v>
      </c>
      <c r="K33" s="18">
        <f t="shared" si="0"/>
        <v>58000</v>
      </c>
      <c r="L33" s="72"/>
    </row>
    <row r="34" spans="4:12">
      <c r="D34" s="49">
        <f>IF($E34="","",SUBTOTAL(103,$E$10:E34))</f>
        <v>25</v>
      </c>
      <c r="E34" s="2" t="str">
        <f>DMNVL!C30</f>
        <v>Siro caramel</v>
      </c>
      <c r="F34" s="2" t="str">
        <f>IFERROR(VLOOKUP(E34,DMNVL!$C$5:$D$36,2,0),"")</f>
        <v>T25</v>
      </c>
      <c r="G34" s="2">
        <v>5</v>
      </c>
      <c r="H34" s="2" t="str">
        <f>IFERROR(VLOOKUP(E34,DMNVL!$C$5:$E$36,3,0),"")</f>
        <v>chai</v>
      </c>
      <c r="I34" s="18">
        <f>BNNVL!I34</f>
        <v>135000</v>
      </c>
      <c r="J34" s="43" t="s">
        <v>38</v>
      </c>
      <c r="K34" s="18">
        <f t="shared" si="0"/>
        <v>675000</v>
      </c>
      <c r="L34" s="72"/>
    </row>
    <row r="35" spans="4:12">
      <c r="D35" s="49">
        <f>IF($E35="","",SUBTOTAL(103,$E$10:E35))</f>
        <v>26</v>
      </c>
      <c r="E35" s="2" t="str">
        <f>DMNVL!C31</f>
        <v>Trân châu trắng</v>
      </c>
      <c r="F35" s="2" t="str">
        <f>IFERROR(VLOOKUP(E35,DMNVL!$C$5:$D$36,2,0),"")</f>
        <v>T26</v>
      </c>
      <c r="G35" s="2">
        <v>8</v>
      </c>
      <c r="H35" s="2" t="str">
        <f>IFERROR(VLOOKUP(E35,DMNVL!$C$5:$E$36,3,0),"")</f>
        <v>kg</v>
      </c>
      <c r="I35" s="18">
        <f>BNNVL!I35</f>
        <v>42000</v>
      </c>
      <c r="J35" s="43" t="s">
        <v>38</v>
      </c>
      <c r="K35" s="18">
        <f t="shared" si="0"/>
        <v>336000</v>
      </c>
      <c r="L35" s="72"/>
    </row>
    <row r="36" spans="4:12">
      <c r="D36" s="49">
        <f>IF($E36="","",SUBTOTAL(103,$E$10:E36))</f>
        <v>27</v>
      </c>
      <c r="E36" s="2" t="str">
        <f>DMNVL!C32</f>
        <v>Trân châu đen</v>
      </c>
      <c r="F36" s="2" t="str">
        <f>IFERROR(VLOOKUP(E36,DMNVL!$C$5:$D$36,2,0),"")</f>
        <v>T27</v>
      </c>
      <c r="G36" s="2">
        <v>9</v>
      </c>
      <c r="H36" s="2" t="str">
        <f>IFERROR(VLOOKUP(E36,DMNVL!$C$5:$E$36,3,0),"")</f>
        <v>kg</v>
      </c>
      <c r="I36" s="18">
        <f>BNNVL!I36</f>
        <v>21000</v>
      </c>
      <c r="J36" s="43" t="s">
        <v>38</v>
      </c>
      <c r="K36" s="18">
        <f t="shared" si="0"/>
        <v>189000</v>
      </c>
      <c r="L36" s="72"/>
    </row>
    <row r="37" spans="4:12">
      <c r="D37" s="49">
        <f>IF($E37="","",SUBTOTAL(103,$E$10:E37))</f>
        <v>28</v>
      </c>
      <c r="E37" s="2" t="str">
        <f>DMNVL!C33</f>
        <v>Ống hút</v>
      </c>
      <c r="F37" s="2" t="str">
        <f>IFERROR(VLOOKUP(E37,DMNVL!$C$5:$D$36,2,0),"")</f>
        <v>T28</v>
      </c>
      <c r="G37" s="2">
        <v>6000</v>
      </c>
      <c r="H37" s="2" t="str">
        <f>IFERROR(VLOOKUP(E37,DMNVL!$C$5:$E$36,3,0),"")</f>
        <v>cái</v>
      </c>
      <c r="I37" s="18">
        <f>BNNVL!I37</f>
        <v>700</v>
      </c>
      <c r="J37" s="43" t="s">
        <v>38</v>
      </c>
      <c r="K37" s="18">
        <f t="shared" si="0"/>
        <v>4200000</v>
      </c>
      <c r="L37" s="72"/>
    </row>
    <row r="38" spans="4:12">
      <c r="D38" s="49">
        <f>IF($E38="","",SUBTOTAL(103,$E$10:E38))</f>
        <v>29</v>
      </c>
      <c r="E38" s="2" t="str">
        <f>DMNVL!C34</f>
        <v>Thìa</v>
      </c>
      <c r="F38" s="2" t="str">
        <f>IFERROR(VLOOKUP(E38,DMNVL!$C$5:$D$36,2,0),"")</f>
        <v>T29</v>
      </c>
      <c r="G38" s="2">
        <v>6000</v>
      </c>
      <c r="H38" s="2" t="str">
        <f>IFERROR(VLOOKUP(E38,DMNVL!$C$5:$E$36,3,0),"")</f>
        <v>cái</v>
      </c>
      <c r="I38" s="18">
        <f>BNNVL!I38</f>
        <v>600</v>
      </c>
      <c r="J38" s="43" t="s">
        <v>38</v>
      </c>
      <c r="K38" s="18">
        <f t="shared" si="0"/>
        <v>3600000</v>
      </c>
      <c r="L38" s="72"/>
    </row>
    <row r="39" spans="4:12">
      <c r="D39" s="49">
        <f>IF($E39="","",SUBTOTAL(103,$E$10:E39))</f>
        <v>30</v>
      </c>
      <c r="E39" s="2" t="str">
        <f>DMNVL!C35</f>
        <v>Ly</v>
      </c>
      <c r="F39" s="2" t="str">
        <f>IFERROR(VLOOKUP(E39,DMNVL!$C$5:$D$36,2,0),"")</f>
        <v>T30</v>
      </c>
      <c r="G39" s="2">
        <v>6000</v>
      </c>
      <c r="H39" s="2" t="str">
        <f>IFERROR(VLOOKUP(E39,DMNVL!$C$5:$E$36,3,0),"")</f>
        <v>cái</v>
      </c>
      <c r="I39" s="18">
        <f>BNNVL!I39</f>
        <v>500</v>
      </c>
      <c r="J39" s="43" t="s">
        <v>38</v>
      </c>
      <c r="K39" s="18">
        <f t="shared" si="0"/>
        <v>3000000</v>
      </c>
      <c r="L39" s="72"/>
    </row>
    <row r="40" spans="4:12">
      <c r="D40" s="49">
        <f>IF($E40="","",SUBTOTAL(103,$E$10:E40))</f>
        <v>31</v>
      </c>
      <c r="E40" s="2" t="str">
        <f>DMNVL!C36</f>
        <v>Bao bì</v>
      </c>
      <c r="F40" s="2" t="str">
        <f>IFERROR(VLOOKUP(E40,DMNVL!$C$5:$D$36,2,0),"")</f>
        <v>T31</v>
      </c>
      <c r="G40" s="2">
        <v>4500</v>
      </c>
      <c r="H40" s="2" t="str">
        <f>IFERROR(VLOOKUP(E40,DMNVL!$C$5:$E$36,3,0),"")</f>
        <v>kg</v>
      </c>
      <c r="I40" s="18">
        <f>BNNVL!I40</f>
        <v>200</v>
      </c>
      <c r="J40" s="43" t="s">
        <v>38</v>
      </c>
      <c r="K40" s="18">
        <f t="shared" si="0"/>
        <v>900000</v>
      </c>
      <c r="L40" s="72"/>
    </row>
    <row r="41" spans="4:12">
      <c r="D41" s="74" t="s">
        <v>137</v>
      </c>
      <c r="E41" s="74"/>
      <c r="F41" s="74"/>
      <c r="G41" s="74"/>
      <c r="H41" s="74"/>
      <c r="I41" s="75"/>
      <c r="J41" s="84">
        <f>SUM(K10:K40)</f>
        <v>30725000</v>
      </c>
      <c r="K41" s="85"/>
      <c r="L41" s="61"/>
    </row>
  </sheetData>
  <mergeCells count="1">
    <mergeCell ref="F2:I3"/>
  </mergeCells>
  <dataValidations count="4">
    <dataValidation type="list" allowBlank="1" showInputMessage="1" showErrorMessage="1" errorTitle="Error" sqref="E10:E40" xr:uid="{00000000-0002-0000-0500-000000000000}">
      <formula1>MH</formula1>
    </dataValidation>
    <dataValidation type="list" allowBlank="1" showInputMessage="1" showErrorMessage="1" errorTitle="Error" sqref="F10:F40" xr:uid="{00000000-0002-0000-0500-000001000000}">
      <formula1>$F$10:$F$40</formula1>
    </dataValidation>
    <dataValidation type="list" allowBlank="1" showInputMessage="1" showErrorMessage="1" errorTitle="Error" sqref="H10:H40" xr:uid="{00000000-0002-0000-0500-000002000000}">
      <formula1>"thùng, kg, hộp, hũ, cái, chai"</formula1>
    </dataValidation>
    <dataValidation allowBlank="1" showInputMessage="1" showErrorMessage="1" errorTitle="Error" sqref="I10:I40" xr:uid="{00000000-0002-0000-0500-000003000000}"/>
  </dataValidations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U43"/>
  <sheetViews>
    <sheetView tabSelected="1" topLeftCell="B1" workbookViewId="0">
      <selection activeCell="I15" sqref="I15"/>
    </sheetView>
  </sheetViews>
  <sheetFormatPr defaultRowHeight="15"/>
  <cols>
    <col min="4" max="4" width="4" bestFit="1" customWidth="1"/>
    <col min="5" max="5" width="10" bestFit="1" customWidth="1"/>
    <col min="6" max="6" width="14.625" bestFit="1" customWidth="1"/>
    <col min="7" max="7" width="6.125" bestFit="1" customWidth="1"/>
    <col min="8" max="8" width="10.625" bestFit="1" customWidth="1"/>
    <col min="9" max="9" width="11.75" bestFit="1" customWidth="1"/>
    <col min="10" max="10" width="10.625" bestFit="1" customWidth="1"/>
    <col min="11" max="11" width="11.75" bestFit="1" customWidth="1"/>
    <col min="12" max="12" width="10.625" bestFit="1" customWidth="1"/>
    <col min="13" max="13" width="11.75" bestFit="1" customWidth="1"/>
  </cols>
  <sheetData>
    <row r="1" spans="1:21" ht="31.5" customHeight="1">
      <c r="A1" s="125" t="s">
        <v>164</v>
      </c>
      <c r="B1" s="125"/>
      <c r="C1" s="125"/>
      <c r="D1" s="125"/>
      <c r="E1" s="125"/>
      <c r="F1" s="125"/>
      <c r="G1" s="125"/>
      <c r="M1" s="126" t="s">
        <v>165</v>
      </c>
      <c r="N1" s="127"/>
      <c r="O1" s="127"/>
      <c r="P1" s="127"/>
      <c r="Q1" s="127"/>
      <c r="R1" s="127"/>
      <c r="S1" s="127"/>
      <c r="T1" s="127"/>
    </row>
    <row r="2" spans="1:21">
      <c r="A2" s="129" t="s">
        <v>167</v>
      </c>
      <c r="B2" s="129"/>
      <c r="C2" s="129"/>
      <c r="D2" s="129"/>
      <c r="E2" s="129"/>
      <c r="F2" s="129"/>
      <c r="G2" s="129"/>
      <c r="O2" s="128" t="s">
        <v>166</v>
      </c>
      <c r="P2" s="128"/>
      <c r="Q2" s="128"/>
      <c r="R2" s="128"/>
    </row>
    <row r="4" spans="1:21" ht="15" customHeight="1">
      <c r="F4" s="130" t="s">
        <v>281</v>
      </c>
      <c r="G4" s="130"/>
      <c r="H4" s="130"/>
      <c r="I4" s="130"/>
      <c r="J4" s="130"/>
      <c r="K4" s="130"/>
      <c r="L4" s="130"/>
      <c r="M4" s="130"/>
      <c r="T4" s="99" t="s">
        <v>180</v>
      </c>
      <c r="U4" s="99"/>
    </row>
    <row r="5" spans="1:21" ht="15" customHeight="1">
      <c r="F5" s="130"/>
      <c r="G5" s="130"/>
      <c r="H5" s="130"/>
      <c r="I5" s="130"/>
      <c r="J5" s="130"/>
      <c r="K5" s="130"/>
      <c r="L5" s="130"/>
      <c r="M5" s="130"/>
      <c r="T5" s="99"/>
      <c r="U5" s="99"/>
    </row>
    <row r="6" spans="1:21">
      <c r="H6" t="s">
        <v>29</v>
      </c>
      <c r="I6">
        <v>2</v>
      </c>
      <c r="J6" t="s">
        <v>28</v>
      </c>
      <c r="K6">
        <f>Năm</f>
        <v>2019</v>
      </c>
    </row>
    <row r="8" spans="1:21">
      <c r="D8" s="123" t="s">
        <v>1</v>
      </c>
      <c r="E8" s="123" t="s">
        <v>82</v>
      </c>
      <c r="F8" s="123" t="s">
        <v>83</v>
      </c>
      <c r="G8" s="123" t="s">
        <v>85</v>
      </c>
      <c r="H8" s="131" t="s">
        <v>277</v>
      </c>
      <c r="I8" s="132"/>
      <c r="J8" s="131" t="s">
        <v>278</v>
      </c>
      <c r="K8" s="132"/>
      <c r="L8" s="131" t="s">
        <v>279</v>
      </c>
      <c r="M8" s="132"/>
      <c r="N8" s="10"/>
    </row>
    <row r="9" spans="1:21">
      <c r="D9" s="124"/>
      <c r="E9" s="124"/>
      <c r="F9" s="124"/>
      <c r="G9" s="124"/>
      <c r="H9" s="39" t="s">
        <v>280</v>
      </c>
      <c r="I9" s="39" t="s">
        <v>87</v>
      </c>
      <c r="J9" s="39" t="s">
        <v>280</v>
      </c>
      <c r="K9" s="39" t="s">
        <v>87</v>
      </c>
      <c r="L9" s="39" t="s">
        <v>280</v>
      </c>
      <c r="M9" s="39" t="s">
        <v>87</v>
      </c>
      <c r="N9" s="10"/>
    </row>
    <row r="10" spans="1:21">
      <c r="D10" s="2">
        <f>IF(F10="","",SUBTOTAL(103,$F$10:F10))</f>
        <v>1</v>
      </c>
      <c r="E10" s="2" t="str">
        <f>IFERROR(VLOOKUP(F10,DMNVL!$C$5:$D$36,2,0),"")</f>
        <v>T1</v>
      </c>
      <c r="F10" s="40" t="s">
        <v>91</v>
      </c>
      <c r="G10" s="40" t="str">
        <f>IFERROR(VLOOKUP(F10,DMNVL!$C$5:$E$36,3,0),"")</f>
        <v>thùng</v>
      </c>
      <c r="H10" s="40">
        <f>IFERROR(VLOOKUP(F10,BNNVL!$E$9:$G$40,3,0),"")</f>
        <v>5</v>
      </c>
      <c r="I10" s="40">
        <f>IFERROR(VLOOKUP(F10,BNNVL!$E$10:$K$40,7,0),"")</f>
        <v>600000</v>
      </c>
      <c r="J10" s="40">
        <f>IFERROR(VLOOKUP(F10,BXNVL!$E$10:$K$40,3,0),"")</f>
        <v>3</v>
      </c>
      <c r="K10" s="40">
        <f>IFERROR(VLOOKUP(F10,BXNVL!$E$10:$K$40,7,0),"")</f>
        <v>360000</v>
      </c>
      <c r="L10" s="41">
        <f>IFERROR(H10-J10,"")</f>
        <v>2</v>
      </c>
      <c r="M10" s="40">
        <f>IFERROR(I10-K10,"")</f>
        <v>240000</v>
      </c>
      <c r="N10" s="10"/>
    </row>
    <row r="11" spans="1:21">
      <c r="D11" s="2">
        <f>IF(F11="","",SUBTOTAL(103,$F$10:F11))</f>
        <v>2</v>
      </c>
      <c r="E11" s="2" t="str">
        <f>IFERROR(VLOOKUP(F11,DMNVL!$C$5:$D$36,2,0),"")</f>
        <v>T2</v>
      </c>
      <c r="F11" s="40" t="s">
        <v>97</v>
      </c>
      <c r="G11" s="40" t="str">
        <f>IFERROR(VLOOKUP(F11,DMNVL!$C$5:$E$36,3,0),"")</f>
        <v>kg</v>
      </c>
      <c r="H11" s="40">
        <f>IFERROR(VLOOKUP(F11,BNNVL!$E$9:$G$40,3,0),"")</f>
        <v>5</v>
      </c>
      <c r="I11" s="40">
        <f>IFERROR(VLOOKUP(F11,BNNVL!$E$10:$K$40,7,0),"")</f>
        <v>900000</v>
      </c>
      <c r="J11" s="40">
        <f>IFERROR(VLOOKUP(F11,BXNVL!$E$10:$K$40,3,0),"")</f>
        <v>3</v>
      </c>
      <c r="K11" s="40">
        <f>IFERROR(VLOOKUP(F11,BXNVL!$E$10:$K$40,7,0),"")</f>
        <v>540000</v>
      </c>
      <c r="L11" s="41">
        <f t="shared" ref="L11:L40" si="0">IFERROR(H11-J11,"")</f>
        <v>2</v>
      </c>
      <c r="M11" s="40">
        <f t="shared" ref="M11:M40" si="1">IFERROR(I11-K11,"")</f>
        <v>360000</v>
      </c>
      <c r="N11" s="10"/>
    </row>
    <row r="12" spans="1:21">
      <c r="D12" s="2">
        <f>IF(F12="","",SUBTOTAL(103,$F$10:F12))</f>
        <v>3</v>
      </c>
      <c r="E12" s="2" t="str">
        <f>IFERROR(VLOOKUP(F12,DMNVL!$C$5:$D$36,2,0),"")</f>
        <v>T3</v>
      </c>
      <c r="F12" s="40" t="s">
        <v>99</v>
      </c>
      <c r="G12" s="40" t="str">
        <f>IFERROR(VLOOKUP(F12,DMNVL!$C$5:$E$36,3,0),"")</f>
        <v>kg</v>
      </c>
      <c r="H12" s="40">
        <f>IFERROR(VLOOKUP(F12,BNNVL!$E$9:$G$40,3,0),"")</f>
        <v>3</v>
      </c>
      <c r="I12" s="40">
        <f>IFERROR(VLOOKUP(F12,BNNVL!$E$10:$K$40,7,0),"")</f>
        <v>2250000</v>
      </c>
      <c r="J12" s="40">
        <f>IFERROR(VLOOKUP(F12,BXNVL!$E$10:$K$40,3,0),"")</f>
        <v>3</v>
      </c>
      <c r="K12" s="40">
        <f>IFERROR(VLOOKUP(F12,BXNVL!$E$10:$K$40,7,0),"")</f>
        <v>2250000</v>
      </c>
      <c r="L12" s="41">
        <f t="shared" si="0"/>
        <v>0</v>
      </c>
      <c r="M12" s="40">
        <f t="shared" si="1"/>
        <v>0</v>
      </c>
      <c r="N12" s="10"/>
    </row>
    <row r="13" spans="1:21">
      <c r="D13" s="2">
        <f>IF(F13="","",SUBTOTAL(103,$F$10:F13))</f>
        <v>4</v>
      </c>
      <c r="E13" s="2" t="str">
        <f>IFERROR(VLOOKUP(F13,DMNVL!$C$5:$D$36,2,0),"")</f>
        <v>T4</v>
      </c>
      <c r="F13" s="40" t="s">
        <v>100</v>
      </c>
      <c r="G13" s="40" t="str">
        <f>IFERROR(VLOOKUP(F13,DMNVL!$C$5:$E$36,3,0),"")</f>
        <v>hộp</v>
      </c>
      <c r="H13" s="40">
        <f>IFERROR(VLOOKUP(F13,BNNVL!$E$9:$G$40,3,0),"")</f>
        <v>5</v>
      </c>
      <c r="I13" s="40">
        <f>IFERROR(VLOOKUP(F13,BNNVL!$E$10:$K$40,7,0),"")</f>
        <v>300000</v>
      </c>
      <c r="J13" s="40">
        <f>IFERROR(VLOOKUP(F13,BXNVL!$E$10:$K$40,3,0),"")</f>
        <v>4</v>
      </c>
      <c r="K13" s="40">
        <f>IFERROR(VLOOKUP(F13,BXNVL!$E$10:$K$40,7,0),"")</f>
        <v>240000</v>
      </c>
      <c r="L13" s="41">
        <f t="shared" si="0"/>
        <v>1</v>
      </c>
      <c r="M13" s="40">
        <f t="shared" si="1"/>
        <v>60000</v>
      </c>
      <c r="N13" s="10"/>
    </row>
    <row r="14" spans="1:21">
      <c r="D14" s="2">
        <f>IF(F14="","",SUBTOTAL(103,$F$10:F14))</f>
        <v>5</v>
      </c>
      <c r="E14" s="2" t="str">
        <f>IFERROR(VLOOKUP(F14,DMNVL!$C$5:$D$36,2,0),"")</f>
        <v>T3</v>
      </c>
      <c r="F14" s="40" t="s">
        <v>99</v>
      </c>
      <c r="G14" s="40" t="str">
        <f>IFERROR(VLOOKUP(F14,DMNVL!$C$5:$E$36,3,0),"")</f>
        <v>kg</v>
      </c>
      <c r="H14" s="40">
        <f>IFERROR(VLOOKUP(F14,BNNVL!$E$9:$G$40,3,0),"")</f>
        <v>3</v>
      </c>
      <c r="I14" s="40">
        <f>IFERROR(VLOOKUP(F14,BNNVL!$E$10:$K$40,7,0),"")</f>
        <v>2250000</v>
      </c>
      <c r="J14" s="40">
        <f>IFERROR(VLOOKUP(F14,BXNVL!$E$10:$K$40,3,0),"")</f>
        <v>3</v>
      </c>
      <c r="K14" s="40">
        <f>IFERROR(VLOOKUP(F14,BXNVL!$E$10:$K$40,7,0),"")</f>
        <v>2250000</v>
      </c>
      <c r="L14" s="41">
        <f t="shared" si="0"/>
        <v>0</v>
      </c>
      <c r="M14" s="40">
        <f t="shared" si="1"/>
        <v>0</v>
      </c>
      <c r="N14" s="10"/>
    </row>
    <row r="15" spans="1:21">
      <c r="D15" s="2">
        <f>IF(F15="","",SUBTOTAL(103,$F$10:F15))</f>
        <v>6</v>
      </c>
      <c r="E15" s="2" t="str">
        <f>IFERROR(VLOOKUP(F15,DMNVL!$C$5:$D$36,2,0),"")</f>
        <v>T7</v>
      </c>
      <c r="F15" s="40" t="s">
        <v>105</v>
      </c>
      <c r="G15" s="40" t="str">
        <f>IFERROR(VLOOKUP(F15,DMNVL!$C$5:$E$36,3,0),"")</f>
        <v>kg</v>
      </c>
      <c r="H15" s="40">
        <f>IFERROR(VLOOKUP(F15,BNNVL!$E$9:$G$40,3,0),"")</f>
        <v>50</v>
      </c>
      <c r="I15" s="40">
        <f>IFERROR(VLOOKUP(F15,BNNVL!$E$10:$K$40,7,0),"")</f>
        <v>500000</v>
      </c>
      <c r="J15" s="40">
        <f>IFERROR(VLOOKUP(F15,BXNVL!$E$10:$K$40,3,0),"")</f>
        <v>45</v>
      </c>
      <c r="K15" s="40">
        <f>IFERROR(VLOOKUP(F15,BXNVL!$E$10:$K$40,7,0),"")</f>
        <v>450000</v>
      </c>
      <c r="L15" s="41">
        <f t="shared" si="0"/>
        <v>5</v>
      </c>
      <c r="M15" s="40">
        <f t="shared" si="1"/>
        <v>50000</v>
      </c>
      <c r="N15" s="10"/>
    </row>
    <row r="16" spans="1:21">
      <c r="D16" s="2" t="str">
        <f>IF(F16="","",SUBTOTAL(103,$F$10:F16))</f>
        <v/>
      </c>
      <c r="E16" s="2" t="str">
        <f>IFERROR(VLOOKUP(F16,DMNVL!$C$5:$D$36,2,0),"")</f>
        <v/>
      </c>
      <c r="F16" s="40"/>
      <c r="G16" s="40" t="str">
        <f>IFERROR(VLOOKUP(F16,DMNVL!$C$5:$E$36,3,0),"")</f>
        <v/>
      </c>
      <c r="H16" s="40" t="str">
        <f>IFERROR(VLOOKUP(F16,BNNVL!$E$9:$G$40,3,0),"")</f>
        <v/>
      </c>
      <c r="I16" s="40" t="str">
        <f>IFERROR(VLOOKUP(F16,BNNVL!$E$10:$K$40,7,0),"")</f>
        <v/>
      </c>
      <c r="J16" s="40" t="str">
        <f>IFERROR(VLOOKUP(F16,BXNVL!$E$10:$K$40,3,0),"")</f>
        <v/>
      </c>
      <c r="K16" s="40" t="str">
        <f>IFERROR(VLOOKUP(F16,BXNVL!$E$10:$K$40,7,0),"")</f>
        <v/>
      </c>
      <c r="L16" s="41" t="str">
        <f t="shared" si="0"/>
        <v/>
      </c>
      <c r="M16" s="40" t="str">
        <f t="shared" si="1"/>
        <v/>
      </c>
      <c r="N16" s="10"/>
    </row>
    <row r="17" spans="4:14">
      <c r="D17" s="2" t="str">
        <f>IF(F17="","",SUBTOTAL(103,$F$10:F17))</f>
        <v/>
      </c>
      <c r="E17" s="2" t="str">
        <f>IFERROR(VLOOKUP(F17,DMNVL!$C$5:$D$36,2,0),"")</f>
        <v/>
      </c>
      <c r="F17" s="40"/>
      <c r="G17" s="40" t="str">
        <f>IFERROR(VLOOKUP(F17,DMNVL!$C$5:$E$36,3,0),"")</f>
        <v/>
      </c>
      <c r="H17" s="40" t="str">
        <f>IFERROR(VLOOKUP(F17,BNNVL!$E$9:$G$40,3,0),"")</f>
        <v/>
      </c>
      <c r="I17" s="40" t="str">
        <f>IFERROR(VLOOKUP(F17,BNNVL!$E$10:$K$40,7,0),"")</f>
        <v/>
      </c>
      <c r="J17" s="40" t="str">
        <f>IFERROR(VLOOKUP(F17,BXNVL!$E$10:$K$40,3,0),"")</f>
        <v/>
      </c>
      <c r="K17" s="40" t="str">
        <f>IFERROR(VLOOKUP(F17,BXNVL!$E$10:$K$40,7,0),"")</f>
        <v/>
      </c>
      <c r="L17" s="41" t="str">
        <f t="shared" si="0"/>
        <v/>
      </c>
      <c r="M17" s="40" t="str">
        <f t="shared" si="1"/>
        <v/>
      </c>
      <c r="N17" s="10"/>
    </row>
    <row r="18" spans="4:14">
      <c r="D18" s="2" t="str">
        <f>IF(F18="","",SUBTOTAL(103,$F$10:F18))</f>
        <v/>
      </c>
      <c r="E18" s="2" t="str">
        <f>IFERROR(VLOOKUP(F18,DMNVL!$C$5:$D$36,2,0),"")</f>
        <v/>
      </c>
      <c r="F18" s="40"/>
      <c r="G18" s="40" t="str">
        <f>IFERROR(VLOOKUP(F18,DMNVL!$C$5:$E$36,3,0),"")</f>
        <v/>
      </c>
      <c r="H18" s="40" t="str">
        <f>IFERROR(VLOOKUP(F18,BNNVL!$E$9:$G$40,3,0),"")</f>
        <v/>
      </c>
      <c r="I18" s="40" t="str">
        <f>IFERROR(VLOOKUP(F18,BNNVL!$E$10:$K$40,7,0),"")</f>
        <v/>
      </c>
      <c r="J18" s="40" t="str">
        <f>IFERROR(VLOOKUP(F18,BXNVL!$E$10:$K$40,3,0),"")</f>
        <v/>
      </c>
      <c r="K18" s="40" t="str">
        <f>IFERROR(VLOOKUP(F18,BXNVL!$E$10:$K$40,7,0),"")</f>
        <v/>
      </c>
      <c r="L18" s="41" t="str">
        <f t="shared" si="0"/>
        <v/>
      </c>
      <c r="M18" s="40" t="str">
        <f t="shared" si="1"/>
        <v/>
      </c>
      <c r="N18" s="10"/>
    </row>
    <row r="19" spans="4:14">
      <c r="D19" s="2" t="str">
        <f>IF(F19="","",SUBTOTAL(103,$F$10:F19))</f>
        <v/>
      </c>
      <c r="E19" s="2" t="str">
        <f>IFERROR(VLOOKUP(F19,DMNVL!$C$5:$D$36,2,0),"")</f>
        <v/>
      </c>
      <c r="F19" s="40"/>
      <c r="G19" s="40" t="str">
        <f>IFERROR(VLOOKUP(F19,DMNVL!$C$5:$E$36,3,0),"")</f>
        <v/>
      </c>
      <c r="H19" s="40" t="str">
        <f>IFERROR(VLOOKUP(F19,BNNVL!$E$9:$G$40,3,0),"")</f>
        <v/>
      </c>
      <c r="I19" s="40" t="str">
        <f>IFERROR(VLOOKUP(F19,BNNVL!$E$10:$K$40,7,0),"")</f>
        <v/>
      </c>
      <c r="J19" s="40" t="str">
        <f>IFERROR(VLOOKUP(F19,BXNVL!$E$10:$K$40,3,0),"")</f>
        <v/>
      </c>
      <c r="K19" s="40" t="str">
        <f>IFERROR(VLOOKUP(F19,BXNVL!$E$10:$K$40,7,0),"")</f>
        <v/>
      </c>
      <c r="L19" s="41" t="str">
        <f t="shared" si="0"/>
        <v/>
      </c>
      <c r="M19" s="40" t="str">
        <f t="shared" si="1"/>
        <v/>
      </c>
      <c r="N19" s="10"/>
    </row>
    <row r="20" spans="4:14">
      <c r="D20" s="2" t="str">
        <f>IF(F20="","",SUBTOTAL(103,$F$10:F20))</f>
        <v/>
      </c>
      <c r="E20" s="2" t="str">
        <f>IFERROR(VLOOKUP(F20,DMNVL!$C$5:$D$36,2,0),"")</f>
        <v/>
      </c>
      <c r="F20" s="40"/>
      <c r="G20" s="40" t="str">
        <f>IFERROR(VLOOKUP(F20,DMNVL!$C$5:$E$36,3,0),"")</f>
        <v/>
      </c>
      <c r="H20" s="40" t="str">
        <f>IFERROR(VLOOKUP(F20,BNNVL!$E$9:$G$40,3,0),"")</f>
        <v/>
      </c>
      <c r="I20" s="40" t="str">
        <f>IFERROR(VLOOKUP(F20,BNNVL!$E$10:$K$40,7,0),"")</f>
        <v/>
      </c>
      <c r="J20" s="40" t="str">
        <f>IFERROR(VLOOKUP(F20,BXNVL!$E$10:$K$40,3,0),"")</f>
        <v/>
      </c>
      <c r="K20" s="40" t="str">
        <f>IFERROR(VLOOKUP(F20,BXNVL!$E$10:$K$40,7,0),"")</f>
        <v/>
      </c>
      <c r="L20" s="41" t="str">
        <f t="shared" si="0"/>
        <v/>
      </c>
      <c r="M20" s="40" t="str">
        <f t="shared" si="1"/>
        <v/>
      </c>
      <c r="N20" s="10"/>
    </row>
    <row r="21" spans="4:14">
      <c r="D21" s="2" t="str">
        <f>IF(F21="","",SUBTOTAL(103,$F$10:F21))</f>
        <v/>
      </c>
      <c r="E21" s="2" t="str">
        <f>IFERROR(VLOOKUP(F21,DMNVL!$C$5:$D$36,2,0),"")</f>
        <v/>
      </c>
      <c r="F21" s="40"/>
      <c r="G21" s="40" t="str">
        <f>IFERROR(VLOOKUP(F21,DMNVL!$C$5:$E$36,3,0),"")</f>
        <v/>
      </c>
      <c r="H21" s="40" t="str">
        <f>IFERROR(VLOOKUP(F21,BNNVL!$E$9:$G$40,3,0),"")</f>
        <v/>
      </c>
      <c r="I21" s="40" t="str">
        <f>IFERROR(VLOOKUP(F21,BNNVL!$E$10:$K$40,7,0),"")</f>
        <v/>
      </c>
      <c r="J21" s="40" t="str">
        <f>IFERROR(VLOOKUP(F21,BXNVL!$E$10:$K$40,3,0),"")</f>
        <v/>
      </c>
      <c r="K21" s="40" t="str">
        <f>IFERROR(VLOOKUP(F21,BXNVL!$E$10:$K$40,7,0),"")</f>
        <v/>
      </c>
      <c r="L21" s="41" t="str">
        <f t="shared" si="0"/>
        <v/>
      </c>
      <c r="M21" s="40" t="str">
        <f t="shared" si="1"/>
        <v/>
      </c>
      <c r="N21" s="10"/>
    </row>
    <row r="22" spans="4:14">
      <c r="D22" s="2" t="str">
        <f>IF(F22="","",SUBTOTAL(103,$F$10:F22))</f>
        <v/>
      </c>
      <c r="E22" s="2" t="str">
        <f>IFERROR(VLOOKUP(F22,DMNVL!$C$5:$D$36,2,0),"")</f>
        <v/>
      </c>
      <c r="F22" s="40"/>
      <c r="G22" s="40" t="str">
        <f>IFERROR(VLOOKUP(F22,DMNVL!$C$5:$E$36,3,0),"")</f>
        <v/>
      </c>
      <c r="H22" s="40" t="str">
        <f>IFERROR(VLOOKUP(F22,BNNVL!$E$9:$G$40,3,0),"")</f>
        <v/>
      </c>
      <c r="I22" s="40" t="str">
        <f>IFERROR(VLOOKUP(F22,BNNVL!$E$10:$K$40,7,0),"")</f>
        <v/>
      </c>
      <c r="J22" s="40" t="str">
        <f>IFERROR(VLOOKUP(F22,BXNVL!$E$10:$K$40,3,0),"")</f>
        <v/>
      </c>
      <c r="K22" s="40" t="str">
        <f>IFERROR(VLOOKUP(F22,BXNVL!$E$10:$K$40,7,0),"")</f>
        <v/>
      </c>
      <c r="L22" s="41" t="str">
        <f t="shared" si="0"/>
        <v/>
      </c>
      <c r="M22" s="40" t="str">
        <f t="shared" si="1"/>
        <v/>
      </c>
      <c r="N22" s="10"/>
    </row>
    <row r="23" spans="4:14">
      <c r="D23" s="2" t="str">
        <f>IF(F23="","",SUBTOTAL(103,$F$10:F23))</f>
        <v/>
      </c>
      <c r="E23" s="2" t="str">
        <f>IFERROR(VLOOKUP(F23,DMNVL!$C$5:$D$36,2,0),"")</f>
        <v/>
      </c>
      <c r="F23" s="40"/>
      <c r="G23" s="40" t="str">
        <f>IFERROR(VLOOKUP(F23,DMNVL!$C$5:$E$36,3,0),"")</f>
        <v/>
      </c>
      <c r="H23" s="40" t="str">
        <f>IFERROR(VLOOKUP(F23,BNNVL!$E$9:$G$40,3,0),"")</f>
        <v/>
      </c>
      <c r="I23" s="40" t="str">
        <f>IFERROR(VLOOKUP(F23,BNNVL!$E$10:$K$40,7,0),"")</f>
        <v/>
      </c>
      <c r="J23" s="40" t="str">
        <f>IFERROR(VLOOKUP(F23,BXNVL!$E$10:$K$40,3,0),"")</f>
        <v/>
      </c>
      <c r="K23" s="40" t="str">
        <f>IFERROR(VLOOKUP(F23,BXNVL!$E$10:$K$40,7,0),"")</f>
        <v/>
      </c>
      <c r="L23" s="41" t="str">
        <f t="shared" si="0"/>
        <v/>
      </c>
      <c r="M23" s="40" t="str">
        <f t="shared" si="1"/>
        <v/>
      </c>
      <c r="N23" s="10"/>
    </row>
    <row r="24" spans="4:14">
      <c r="D24" s="2" t="str">
        <f>IF(F24="","",SUBTOTAL(103,$F$10:F24))</f>
        <v/>
      </c>
      <c r="E24" s="2" t="str">
        <f>IFERROR(VLOOKUP(F24,DMNVL!$C$5:$D$36,2,0),"")</f>
        <v/>
      </c>
      <c r="F24" s="40"/>
      <c r="G24" s="40" t="str">
        <f>IFERROR(VLOOKUP(F24,DMNVL!$C$5:$E$36,3,0),"")</f>
        <v/>
      </c>
      <c r="H24" s="40" t="str">
        <f>IFERROR(VLOOKUP(F24,BNNVL!$E$9:$G$40,3,0),"")</f>
        <v/>
      </c>
      <c r="I24" s="40" t="str">
        <f>IFERROR(VLOOKUP(F24,BNNVL!$E$10:$K$40,7,0),"")</f>
        <v/>
      </c>
      <c r="J24" s="40" t="str">
        <f>IFERROR(VLOOKUP(F24,BXNVL!$E$10:$K$40,3,0),"")</f>
        <v/>
      </c>
      <c r="K24" s="40" t="str">
        <f>IFERROR(VLOOKUP(F24,BXNVL!$E$10:$K$40,7,0),"")</f>
        <v/>
      </c>
      <c r="L24" s="41" t="str">
        <f t="shared" si="0"/>
        <v/>
      </c>
      <c r="M24" s="40" t="str">
        <f t="shared" si="1"/>
        <v/>
      </c>
      <c r="N24" s="10"/>
    </row>
    <row r="25" spans="4:14">
      <c r="D25" s="2" t="str">
        <f>IF(F25="","",SUBTOTAL(103,$F$10:F25))</f>
        <v/>
      </c>
      <c r="E25" s="2" t="str">
        <f>IFERROR(VLOOKUP(F25,DMNVL!$C$5:$D$36,2,0),"")</f>
        <v/>
      </c>
      <c r="F25" s="40"/>
      <c r="G25" s="40" t="str">
        <f>IFERROR(VLOOKUP(F25,DMNVL!$C$5:$E$36,3,0),"")</f>
        <v/>
      </c>
      <c r="H25" s="40" t="str">
        <f>IFERROR(VLOOKUP(F25,BNNVL!$E$9:$G$40,3,0),"")</f>
        <v/>
      </c>
      <c r="I25" s="40" t="str">
        <f>IFERROR(VLOOKUP(F25,BNNVL!$E$10:$K$40,7,0),"")</f>
        <v/>
      </c>
      <c r="J25" s="40" t="str">
        <f>IFERROR(VLOOKUP(F25,BXNVL!$E$10:$K$40,3,0),"")</f>
        <v/>
      </c>
      <c r="K25" s="40" t="str">
        <f>IFERROR(VLOOKUP(F25,BXNVL!$E$10:$K$40,7,0),"")</f>
        <v/>
      </c>
      <c r="L25" s="41" t="str">
        <f t="shared" si="0"/>
        <v/>
      </c>
      <c r="M25" s="40" t="str">
        <f t="shared" si="1"/>
        <v/>
      </c>
      <c r="N25" s="10"/>
    </row>
    <row r="26" spans="4:14">
      <c r="D26" s="2" t="str">
        <f>IF(F26="","",SUBTOTAL(103,$F$10:F26))</f>
        <v/>
      </c>
      <c r="E26" s="2" t="str">
        <f>IFERROR(VLOOKUP(F26,DMNVL!$C$5:$D$36,2,0),"")</f>
        <v/>
      </c>
      <c r="F26" s="40"/>
      <c r="G26" s="40" t="str">
        <f>IFERROR(VLOOKUP(F26,DMNVL!$C$5:$E$36,3,0),"")</f>
        <v/>
      </c>
      <c r="H26" s="40" t="str">
        <f>IFERROR(VLOOKUP(F26,BNNVL!$E$9:$G$40,3,0),"")</f>
        <v/>
      </c>
      <c r="I26" s="40" t="str">
        <f>IFERROR(VLOOKUP(F26,BNNVL!$E$10:$K$40,7,0),"")</f>
        <v/>
      </c>
      <c r="J26" s="40" t="str">
        <f>IFERROR(VLOOKUP(F26,BXNVL!$E$10:$K$40,3,0),"")</f>
        <v/>
      </c>
      <c r="K26" s="40" t="str">
        <f>IFERROR(VLOOKUP(F26,BXNVL!$E$10:$K$40,7,0),"")</f>
        <v/>
      </c>
      <c r="L26" s="41" t="str">
        <f t="shared" si="0"/>
        <v/>
      </c>
      <c r="M26" s="40" t="str">
        <f t="shared" si="1"/>
        <v/>
      </c>
      <c r="N26" s="10"/>
    </row>
    <row r="27" spans="4:14">
      <c r="D27" s="2" t="str">
        <f>IF(F27="","",SUBTOTAL(103,$F$10:F27))</f>
        <v/>
      </c>
      <c r="E27" s="2" t="str">
        <f>IFERROR(VLOOKUP(F27,DMNVL!$C$5:$D$36,2,0),"")</f>
        <v/>
      </c>
      <c r="F27" s="40"/>
      <c r="G27" s="40" t="str">
        <f>IFERROR(VLOOKUP(F27,DMNVL!$C$5:$E$36,3,0),"")</f>
        <v/>
      </c>
      <c r="H27" s="40" t="str">
        <f>IFERROR(VLOOKUP(F27,BNNVL!$E$9:$G$40,3,0),"")</f>
        <v/>
      </c>
      <c r="I27" s="40" t="str">
        <f>IFERROR(VLOOKUP(F27,BNNVL!$E$10:$K$40,7,0),"")</f>
        <v/>
      </c>
      <c r="J27" s="40" t="str">
        <f>IFERROR(VLOOKUP(F27,BXNVL!$E$10:$K$40,3,0),"")</f>
        <v/>
      </c>
      <c r="K27" s="40" t="str">
        <f>IFERROR(VLOOKUP(F27,BXNVL!$E$10:$K$40,7,0),"")</f>
        <v/>
      </c>
      <c r="L27" s="41" t="str">
        <f t="shared" si="0"/>
        <v/>
      </c>
      <c r="M27" s="40" t="str">
        <f t="shared" si="1"/>
        <v/>
      </c>
      <c r="N27" s="10"/>
    </row>
    <row r="28" spans="4:14">
      <c r="D28" s="2" t="str">
        <f>IF(F28="","",SUBTOTAL(103,$F$10:F28))</f>
        <v/>
      </c>
      <c r="E28" s="2" t="str">
        <f>IFERROR(VLOOKUP(F28,DMNVL!$C$5:$D$36,2,0),"")</f>
        <v/>
      </c>
      <c r="F28" s="40"/>
      <c r="G28" s="40" t="str">
        <f>IFERROR(VLOOKUP(F28,DMNVL!$C$5:$E$36,3,0),"")</f>
        <v/>
      </c>
      <c r="H28" s="40" t="str">
        <f>IFERROR(VLOOKUP(F28,BNNVL!$E$9:$G$40,3,0),"")</f>
        <v/>
      </c>
      <c r="I28" s="40" t="str">
        <f>IFERROR(VLOOKUP(F28,BNNVL!$E$10:$K$40,7,0),"")</f>
        <v/>
      </c>
      <c r="J28" s="40" t="str">
        <f>IFERROR(VLOOKUP(F28,BXNVL!$E$10:$K$40,3,0),"")</f>
        <v/>
      </c>
      <c r="K28" s="40" t="str">
        <f>IFERROR(VLOOKUP(F28,BXNVL!$E$10:$K$40,7,0),"")</f>
        <v/>
      </c>
      <c r="L28" s="41" t="str">
        <f t="shared" si="0"/>
        <v/>
      </c>
      <c r="M28" s="40" t="str">
        <f t="shared" si="1"/>
        <v/>
      </c>
      <c r="N28" s="10"/>
    </row>
    <row r="29" spans="4:14">
      <c r="D29" s="2" t="str">
        <f>IF(F29="","",SUBTOTAL(103,$F$10:F29))</f>
        <v/>
      </c>
      <c r="E29" s="2" t="str">
        <f>IFERROR(VLOOKUP(F29,DMNVL!$C$5:$D$36,2,0),"")</f>
        <v/>
      </c>
      <c r="F29" s="40"/>
      <c r="G29" s="40" t="str">
        <f>IFERROR(VLOOKUP(F29,DMNVL!$C$5:$E$36,3,0),"")</f>
        <v/>
      </c>
      <c r="H29" s="40" t="str">
        <f>IFERROR(VLOOKUP(F29,BNNVL!$E$9:$G$40,3,0),"")</f>
        <v/>
      </c>
      <c r="I29" s="40" t="str">
        <f>IFERROR(VLOOKUP(F29,BNNVL!$E$10:$K$40,7,0),"")</f>
        <v/>
      </c>
      <c r="J29" s="40" t="str">
        <f>IFERROR(VLOOKUP(F29,BXNVL!$E$10:$K$40,3,0),"")</f>
        <v/>
      </c>
      <c r="K29" s="40" t="str">
        <f>IFERROR(VLOOKUP(F29,BXNVL!$E$10:$K$40,7,0),"")</f>
        <v/>
      </c>
      <c r="L29" s="41" t="str">
        <f t="shared" si="0"/>
        <v/>
      </c>
      <c r="M29" s="40" t="str">
        <f t="shared" si="1"/>
        <v/>
      </c>
      <c r="N29" s="10"/>
    </row>
    <row r="30" spans="4:14">
      <c r="D30" s="2" t="str">
        <f>IF(F30="","",SUBTOTAL(103,$F$10:F30))</f>
        <v/>
      </c>
      <c r="E30" s="2" t="str">
        <f>IFERROR(VLOOKUP(F30,DMNVL!$C$5:$D$36,2,0),"")</f>
        <v/>
      </c>
      <c r="F30" s="40"/>
      <c r="G30" s="40" t="str">
        <f>IFERROR(VLOOKUP(F30,DMNVL!$C$5:$E$36,3,0),"")</f>
        <v/>
      </c>
      <c r="H30" s="40" t="str">
        <f>IFERROR(VLOOKUP(F30,BNNVL!$E$9:$G$40,3,0),"")</f>
        <v/>
      </c>
      <c r="I30" s="40" t="str">
        <f>IFERROR(VLOOKUP(F30,BNNVL!$E$10:$K$40,7,0),"")</f>
        <v/>
      </c>
      <c r="J30" s="40" t="str">
        <f>IFERROR(VLOOKUP(F30,BXNVL!$E$10:$K$40,3,0),"")</f>
        <v/>
      </c>
      <c r="K30" s="40" t="str">
        <f>IFERROR(VLOOKUP(F30,BXNVL!$E$10:$K$40,7,0),"")</f>
        <v/>
      </c>
      <c r="L30" s="41" t="str">
        <f t="shared" si="0"/>
        <v/>
      </c>
      <c r="M30" s="40" t="str">
        <f t="shared" si="1"/>
        <v/>
      </c>
      <c r="N30" s="10"/>
    </row>
    <row r="31" spans="4:14">
      <c r="D31" s="2" t="str">
        <f>IF(F31="","",SUBTOTAL(103,$F$10:F31))</f>
        <v/>
      </c>
      <c r="E31" s="2" t="str">
        <f>IFERROR(VLOOKUP(F31,DMNVL!$C$5:$D$36,2,0),"")</f>
        <v/>
      </c>
      <c r="F31" s="40"/>
      <c r="G31" s="40" t="str">
        <f>IFERROR(VLOOKUP(F31,DMNVL!$C$5:$E$36,3,0),"")</f>
        <v/>
      </c>
      <c r="H31" s="40" t="str">
        <f>IFERROR(VLOOKUP(F31,BNNVL!$E$9:$G$40,3,0),"")</f>
        <v/>
      </c>
      <c r="I31" s="40" t="str">
        <f>IFERROR(VLOOKUP(F31,BNNVL!$E$10:$K$40,7,0),"")</f>
        <v/>
      </c>
      <c r="J31" s="40" t="str">
        <f>IFERROR(VLOOKUP(F31,BXNVL!$E$10:$K$40,3,0),"")</f>
        <v/>
      </c>
      <c r="K31" s="40" t="str">
        <f>IFERROR(VLOOKUP(F31,BXNVL!$E$10:$K$40,7,0),"")</f>
        <v/>
      </c>
      <c r="L31" s="41" t="str">
        <f t="shared" si="0"/>
        <v/>
      </c>
      <c r="M31" s="40" t="str">
        <f t="shared" si="1"/>
        <v/>
      </c>
      <c r="N31" s="10"/>
    </row>
    <row r="32" spans="4:14">
      <c r="D32" s="2" t="str">
        <f>IF(F32="","",SUBTOTAL(103,$F$10:F32))</f>
        <v/>
      </c>
      <c r="E32" s="2" t="str">
        <f>IFERROR(VLOOKUP(F32,DMNVL!$C$5:$D$36,2,0),"")</f>
        <v/>
      </c>
      <c r="F32" s="40"/>
      <c r="G32" s="40" t="str">
        <f>IFERROR(VLOOKUP(F32,DMNVL!$C$5:$E$36,3,0),"")</f>
        <v/>
      </c>
      <c r="H32" s="40" t="str">
        <f>IFERROR(VLOOKUP(F32,BNNVL!$E$9:$G$40,3,0),"")</f>
        <v/>
      </c>
      <c r="I32" s="40" t="str">
        <f>IFERROR(VLOOKUP(F32,BNNVL!$E$10:$K$40,7,0),"")</f>
        <v/>
      </c>
      <c r="J32" s="40" t="str">
        <f>IFERROR(VLOOKUP(F32,BXNVL!$E$10:$K$40,3,0),"")</f>
        <v/>
      </c>
      <c r="K32" s="40" t="str">
        <f>IFERROR(VLOOKUP(F32,BXNVL!$E$10:$K$40,7,0),"")</f>
        <v/>
      </c>
      <c r="L32" s="41" t="str">
        <f t="shared" si="0"/>
        <v/>
      </c>
      <c r="M32" s="40" t="str">
        <f t="shared" si="1"/>
        <v/>
      </c>
    </row>
    <row r="33" spans="4:16">
      <c r="D33" s="2" t="str">
        <f>IF(F33="","",SUBTOTAL(103,$F$10:F33))</f>
        <v/>
      </c>
      <c r="E33" s="2" t="str">
        <f>IFERROR(VLOOKUP(F33,DMNVL!$C$5:$D$36,2,0),"")</f>
        <v/>
      </c>
      <c r="F33" s="40"/>
      <c r="G33" s="40" t="str">
        <f>IFERROR(VLOOKUP(F33,DMNVL!$C$5:$E$36,3,0),"")</f>
        <v/>
      </c>
      <c r="H33" s="40" t="str">
        <f>IFERROR(VLOOKUP(F33,BNNVL!$E$9:$G$40,3,0),"")</f>
        <v/>
      </c>
      <c r="I33" s="40" t="str">
        <f>IFERROR(VLOOKUP(F33,BNNVL!$E$10:$K$40,7,0),"")</f>
        <v/>
      </c>
      <c r="J33" s="40" t="str">
        <f>IFERROR(VLOOKUP(F33,BXNVL!$E$10:$K$40,3,0),"")</f>
        <v/>
      </c>
      <c r="K33" s="40" t="str">
        <f>IFERROR(VLOOKUP(F33,BXNVL!$E$10:$K$40,7,0),"")</f>
        <v/>
      </c>
      <c r="L33" s="41" t="str">
        <f t="shared" si="0"/>
        <v/>
      </c>
      <c r="M33" s="40" t="str">
        <f t="shared" si="1"/>
        <v/>
      </c>
    </row>
    <row r="34" spans="4:16">
      <c r="D34" s="2" t="str">
        <f>IF(F34="","",SUBTOTAL(103,$F$10:F34))</f>
        <v/>
      </c>
      <c r="E34" s="2" t="str">
        <f>IFERROR(VLOOKUP(F34,DMNVL!$C$5:$D$36,2,0),"")</f>
        <v/>
      </c>
      <c r="F34" s="40"/>
      <c r="G34" s="40" t="str">
        <f>IFERROR(VLOOKUP(F34,DMNVL!$C$5:$E$36,3,0),"")</f>
        <v/>
      </c>
      <c r="H34" s="40" t="str">
        <f>IFERROR(VLOOKUP(F34,BNNVL!$E$9:$G$40,3,0),"")</f>
        <v/>
      </c>
      <c r="I34" s="40" t="str">
        <f>IFERROR(VLOOKUP(F34,BNNVL!$E$10:$K$40,7,0),"")</f>
        <v/>
      </c>
      <c r="J34" s="40" t="str">
        <f>IFERROR(VLOOKUP(F34,BXNVL!$E$10:$K$40,3,0),"")</f>
        <v/>
      </c>
      <c r="K34" s="40" t="str">
        <f>IFERROR(VLOOKUP(F34,BXNVL!$E$10:$K$40,7,0),"")</f>
        <v/>
      </c>
      <c r="L34" s="41" t="str">
        <f t="shared" si="0"/>
        <v/>
      </c>
      <c r="M34" s="40" t="str">
        <f t="shared" si="1"/>
        <v/>
      </c>
    </row>
    <row r="35" spans="4:16">
      <c r="D35" s="2" t="str">
        <f>IF(F35="","",SUBTOTAL(103,$F$10:F35))</f>
        <v/>
      </c>
      <c r="E35" s="2" t="str">
        <f>IFERROR(VLOOKUP(F35,DMNVL!$C$5:$D$36,2,0),"")</f>
        <v/>
      </c>
      <c r="F35" s="40"/>
      <c r="G35" s="40" t="str">
        <f>IFERROR(VLOOKUP(F35,DMNVL!$C$5:$E$36,3,0),"")</f>
        <v/>
      </c>
      <c r="H35" s="40" t="str">
        <f>IFERROR(VLOOKUP(F35,BNNVL!$E$9:$G$40,3,0),"")</f>
        <v/>
      </c>
      <c r="I35" s="40" t="str">
        <f>IFERROR(VLOOKUP(F35,BNNVL!$E$10:$K$40,7,0),"")</f>
        <v/>
      </c>
      <c r="J35" s="40" t="str">
        <f>IFERROR(VLOOKUP(F35,BXNVL!$E$10:$K$40,3,0),"")</f>
        <v/>
      </c>
      <c r="K35" s="40" t="str">
        <f>IFERROR(VLOOKUP(F35,BXNVL!$E$10:$K$40,7,0),"")</f>
        <v/>
      </c>
      <c r="L35" s="41" t="str">
        <f t="shared" si="0"/>
        <v/>
      </c>
      <c r="M35" s="40" t="str">
        <f t="shared" si="1"/>
        <v/>
      </c>
    </row>
    <row r="36" spans="4:16">
      <c r="D36" s="2" t="str">
        <f>IF(F36="","",SUBTOTAL(103,$F$10:F36))</f>
        <v/>
      </c>
      <c r="E36" s="2" t="str">
        <f>IFERROR(VLOOKUP(F36,DMNVL!$C$5:$D$36,2,0),"")</f>
        <v/>
      </c>
      <c r="F36" s="40"/>
      <c r="G36" s="40" t="str">
        <f>IFERROR(VLOOKUP(F36,DMNVL!$C$5:$E$36,3,0),"")</f>
        <v/>
      </c>
      <c r="H36" s="40" t="str">
        <f>IFERROR(VLOOKUP(F36,BNNVL!$E$9:$G$40,3,0),"")</f>
        <v/>
      </c>
      <c r="I36" s="40" t="str">
        <f>IFERROR(VLOOKUP(F36,BNNVL!$E$10:$K$40,7,0),"")</f>
        <v/>
      </c>
      <c r="J36" s="40" t="str">
        <f>IFERROR(VLOOKUP(F36,BXNVL!$E$10:$K$40,3,0),"")</f>
        <v/>
      </c>
      <c r="K36" s="40" t="str">
        <f>IFERROR(VLOOKUP(F36,BXNVL!$E$10:$K$40,7,0),"")</f>
        <v/>
      </c>
      <c r="L36" s="41" t="str">
        <f t="shared" si="0"/>
        <v/>
      </c>
      <c r="M36" s="40" t="str">
        <f t="shared" si="1"/>
        <v/>
      </c>
    </row>
    <row r="37" spans="4:16">
      <c r="D37" s="2" t="str">
        <f>IF(F37="","",SUBTOTAL(103,$F$10:F37))</f>
        <v/>
      </c>
      <c r="E37" s="2" t="str">
        <f>IFERROR(VLOOKUP(F37,DMNVL!$C$5:$D$36,2,0),"")</f>
        <v/>
      </c>
      <c r="F37" s="40"/>
      <c r="G37" s="40" t="str">
        <f>IFERROR(VLOOKUP(F37,DMNVL!$C$5:$E$36,3,0),"")</f>
        <v/>
      </c>
      <c r="H37" s="40" t="str">
        <f>IFERROR(VLOOKUP(F37,BNNVL!$E$9:$G$40,3,0),"")</f>
        <v/>
      </c>
      <c r="I37" s="40" t="str">
        <f>IFERROR(VLOOKUP(F37,BNNVL!$E$10:$K$40,7,0),"")</f>
        <v/>
      </c>
      <c r="J37" s="40" t="str">
        <f>IFERROR(VLOOKUP(F37,BXNVL!$E$10:$K$40,3,0),"")</f>
        <v/>
      </c>
      <c r="K37" s="40" t="str">
        <f>IFERROR(VLOOKUP(F37,BXNVL!$E$10:$K$40,7,0),"")</f>
        <v/>
      </c>
      <c r="L37" s="41" t="str">
        <f t="shared" si="0"/>
        <v/>
      </c>
      <c r="M37" s="40" t="str">
        <f t="shared" si="1"/>
        <v/>
      </c>
    </row>
    <row r="38" spans="4:16">
      <c r="D38" s="2" t="str">
        <f>IF(F38="","",SUBTOTAL(103,$F$10:F38))</f>
        <v/>
      </c>
      <c r="E38" s="2" t="str">
        <f>IFERROR(VLOOKUP(F38,DMNVL!$C$5:$D$36,2,0),"")</f>
        <v/>
      </c>
      <c r="F38" s="40"/>
      <c r="G38" s="40" t="str">
        <f>IFERROR(VLOOKUP(F38,DMNVL!$C$5:$E$36,3,0),"")</f>
        <v/>
      </c>
      <c r="H38" s="40" t="str">
        <f>IFERROR(VLOOKUP(F38,BNNVL!$E$9:$G$40,3,0),"")</f>
        <v/>
      </c>
      <c r="I38" s="40" t="str">
        <f>IFERROR(VLOOKUP(F38,BNNVL!$E$10:$K$40,7,0),"")</f>
        <v/>
      </c>
      <c r="J38" s="40" t="str">
        <f>IFERROR(VLOOKUP(F38,BXNVL!$E$10:$K$40,3,0),"")</f>
        <v/>
      </c>
      <c r="K38" s="40" t="str">
        <f>IFERROR(VLOOKUP(F38,BXNVL!$E$10:$K$40,7,0),"")</f>
        <v/>
      </c>
      <c r="L38" s="41" t="str">
        <f t="shared" si="0"/>
        <v/>
      </c>
      <c r="M38" s="40" t="str">
        <f t="shared" si="1"/>
        <v/>
      </c>
    </row>
    <row r="39" spans="4:16">
      <c r="D39" s="2" t="str">
        <f>IF(F39="","",SUBTOTAL(103,$F$10:F39))</f>
        <v/>
      </c>
      <c r="E39" s="2" t="str">
        <f>IFERROR(VLOOKUP(F39,DMNVL!$C$5:$D$36,2,0),"")</f>
        <v/>
      </c>
      <c r="F39" s="40"/>
      <c r="G39" s="40" t="str">
        <f>IFERROR(VLOOKUP(F39,DMNVL!$C$5:$E$36,3,0),"")</f>
        <v/>
      </c>
      <c r="H39" s="40" t="str">
        <f>IFERROR(VLOOKUP(F39,BNNVL!$E$9:$G$40,3,0),"")</f>
        <v/>
      </c>
      <c r="I39" s="40" t="str">
        <f>IFERROR(VLOOKUP(F39,BNNVL!$E$10:$K$40,7,0),"")</f>
        <v/>
      </c>
      <c r="J39" s="40" t="str">
        <f>IFERROR(VLOOKUP(F39,BXNVL!$E$10:$K$40,3,0),"")</f>
        <v/>
      </c>
      <c r="K39" s="40" t="str">
        <f>IFERROR(VLOOKUP(F39,BXNVL!$E$10:$K$40,7,0),"")</f>
        <v/>
      </c>
      <c r="L39" s="41" t="str">
        <f t="shared" si="0"/>
        <v/>
      </c>
      <c r="M39" s="40" t="str">
        <f t="shared" si="1"/>
        <v/>
      </c>
    </row>
    <row r="40" spans="4:16">
      <c r="D40" s="2" t="str">
        <f>IF(F40="","",SUBTOTAL(103,$F$10:F40))</f>
        <v/>
      </c>
      <c r="E40" s="2" t="str">
        <f>IFERROR(VLOOKUP(F40,DMNVL!$C$5:$D$36,2,0),"")</f>
        <v/>
      </c>
      <c r="F40" s="40"/>
      <c r="G40" s="40" t="str">
        <f>IFERROR(VLOOKUP(F40,DMNVL!$C$5:$E$36,3,0),"")</f>
        <v/>
      </c>
      <c r="H40" s="40" t="str">
        <f>IFERROR(VLOOKUP(F40,BNNVL!$E$9:$G$40,3,0),"")</f>
        <v/>
      </c>
      <c r="I40" s="40" t="str">
        <f>IFERROR(VLOOKUP(F40,BNNVL!$E$10:$K$40,7,0),"")</f>
        <v/>
      </c>
      <c r="J40" s="40" t="str">
        <f>IFERROR(VLOOKUP(F40,BXNVL!$E$10:$K$40,3,0),"")</f>
        <v/>
      </c>
      <c r="K40" s="40" t="str">
        <f>IFERROR(VLOOKUP(F40,BXNVL!$E$10:$K$40,7,0),"")</f>
        <v/>
      </c>
      <c r="L40" s="41" t="str">
        <f t="shared" si="0"/>
        <v/>
      </c>
      <c r="M40" s="40" t="str">
        <f t="shared" si="1"/>
        <v/>
      </c>
    </row>
    <row r="43" spans="4:16">
      <c r="O43" s="122" t="s">
        <v>284</v>
      </c>
      <c r="P43" s="122"/>
    </row>
  </sheetData>
  <mergeCells count="14">
    <mergeCell ref="O43:P43"/>
    <mergeCell ref="T4:U5"/>
    <mergeCell ref="E8:E9"/>
    <mergeCell ref="D8:D9"/>
    <mergeCell ref="A1:G1"/>
    <mergeCell ref="M1:T1"/>
    <mergeCell ref="O2:R2"/>
    <mergeCell ref="A2:G2"/>
    <mergeCell ref="F4:M5"/>
    <mergeCell ref="F8:F9"/>
    <mergeCell ref="G8:G9"/>
    <mergeCell ref="H8:I8"/>
    <mergeCell ref="J8:K8"/>
    <mergeCell ref="L8:M8"/>
  </mergeCells>
  <dataValidations count="1">
    <dataValidation type="list" allowBlank="1" showInputMessage="1" showErrorMessage="1" errorTitle="Error" sqref="F10:F40" xr:uid="{00000000-0002-0000-0600-000000000000}">
      <formula1>MH</formula1>
    </dataValidation>
  </dataValidations>
  <hyperlinks>
    <hyperlink ref="T4:U5" location="MENU!A1" display="MENU" xr:uid="{00000000-0004-0000-0600-000000000000}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2:I257"/>
  <sheetViews>
    <sheetView topLeftCell="A76" workbookViewId="0">
      <selection activeCell="D5" sqref="D5:E8"/>
    </sheetView>
  </sheetViews>
  <sheetFormatPr defaultRowHeight="15"/>
  <cols>
    <col min="1" max="1" width="8.625" bestFit="1" customWidth="1"/>
    <col min="2" max="2" width="4" bestFit="1" customWidth="1"/>
    <col min="3" max="3" width="24.375" bestFit="1" customWidth="1"/>
    <col min="4" max="4" width="14.625" bestFit="1" customWidth="1"/>
    <col min="5" max="5" width="11.875" bestFit="1" customWidth="1"/>
    <col min="6" max="6" width="6.625" bestFit="1" customWidth="1"/>
  </cols>
  <sheetData>
    <row r="2" spans="1:9" ht="15" customHeight="1">
      <c r="A2" s="133" t="s">
        <v>181</v>
      </c>
      <c r="B2" s="133"/>
      <c r="C2" s="133"/>
      <c r="D2" s="133"/>
      <c r="E2" s="133"/>
      <c r="F2" s="133"/>
      <c r="H2" s="99" t="s">
        <v>180</v>
      </c>
      <c r="I2" s="99"/>
    </row>
    <row r="3" spans="1:9" ht="15" customHeight="1">
      <c r="A3" s="134"/>
      <c r="B3" s="134"/>
      <c r="C3" s="134"/>
      <c r="D3" s="134"/>
      <c r="E3" s="134"/>
      <c r="F3" s="134"/>
      <c r="H3" s="99"/>
      <c r="I3" s="99"/>
    </row>
    <row r="4" spans="1:9" s="21" customFormat="1">
      <c r="A4" s="45" t="s">
        <v>188</v>
      </c>
      <c r="B4" s="45" t="s">
        <v>1</v>
      </c>
      <c r="C4" s="45" t="s">
        <v>189</v>
      </c>
      <c r="D4" s="45" t="s">
        <v>190</v>
      </c>
      <c r="E4" s="45" t="s">
        <v>191</v>
      </c>
      <c r="F4" s="45" t="s">
        <v>192</v>
      </c>
      <c r="G4" s="34"/>
    </row>
    <row r="5" spans="1:9">
      <c r="A5" s="145" t="s">
        <v>255</v>
      </c>
      <c r="B5" s="153">
        <v>1</v>
      </c>
      <c r="C5" s="153" t="s">
        <v>193</v>
      </c>
      <c r="D5" s="2" t="s">
        <v>91</v>
      </c>
      <c r="E5" s="2" t="s">
        <v>194</v>
      </c>
      <c r="F5" s="135">
        <v>26000</v>
      </c>
    </row>
    <row r="6" spans="1:9">
      <c r="A6" s="146"/>
      <c r="B6" s="154"/>
      <c r="C6" s="154"/>
      <c r="D6" s="2" t="s">
        <v>195</v>
      </c>
      <c r="E6" s="2" t="s">
        <v>197</v>
      </c>
      <c r="F6" s="136"/>
    </row>
    <row r="7" spans="1:9">
      <c r="A7" s="146"/>
      <c r="B7" s="154"/>
      <c r="C7" s="154"/>
      <c r="D7" s="2" t="s">
        <v>196</v>
      </c>
      <c r="E7" s="2" t="s">
        <v>198</v>
      </c>
      <c r="F7" s="136"/>
    </row>
    <row r="8" spans="1:9">
      <c r="A8" s="146"/>
      <c r="B8" s="155"/>
      <c r="C8" s="155"/>
      <c r="D8" s="2" t="s">
        <v>107</v>
      </c>
      <c r="E8" s="2" t="s">
        <v>197</v>
      </c>
      <c r="F8" s="137"/>
    </row>
    <row r="9" spans="1:9">
      <c r="A9" s="146"/>
      <c r="B9" s="153">
        <v>2</v>
      </c>
      <c r="C9" s="153" t="s">
        <v>199</v>
      </c>
      <c r="D9" s="2" t="s">
        <v>200</v>
      </c>
      <c r="E9" s="2" t="s">
        <v>194</v>
      </c>
      <c r="F9" s="135">
        <v>28000</v>
      </c>
    </row>
    <row r="10" spans="1:9">
      <c r="A10" s="146"/>
      <c r="B10" s="154"/>
      <c r="C10" s="154"/>
      <c r="D10" s="2" t="s">
        <v>195</v>
      </c>
      <c r="E10" s="2" t="s">
        <v>197</v>
      </c>
      <c r="F10" s="136"/>
    </row>
    <row r="11" spans="1:9">
      <c r="A11" s="146"/>
      <c r="B11" s="154"/>
      <c r="C11" s="154"/>
      <c r="D11" s="2" t="s">
        <v>196</v>
      </c>
      <c r="E11" s="2" t="s">
        <v>198</v>
      </c>
      <c r="F11" s="136"/>
    </row>
    <row r="12" spans="1:9">
      <c r="A12" s="146"/>
      <c r="B12" s="155"/>
      <c r="C12" s="155"/>
      <c r="D12" s="2" t="s">
        <v>107</v>
      </c>
      <c r="E12" s="2" t="s">
        <v>197</v>
      </c>
      <c r="F12" s="137"/>
    </row>
    <row r="13" spans="1:9">
      <c r="A13" s="146"/>
      <c r="B13" s="153">
        <v>3</v>
      </c>
      <c r="C13" s="153" t="s">
        <v>201</v>
      </c>
      <c r="D13" s="2" t="s">
        <v>99</v>
      </c>
      <c r="E13" s="2" t="s">
        <v>194</v>
      </c>
      <c r="F13" s="135">
        <v>26000</v>
      </c>
    </row>
    <row r="14" spans="1:9">
      <c r="A14" s="146"/>
      <c r="B14" s="154"/>
      <c r="C14" s="154"/>
      <c r="D14" s="2" t="s">
        <v>195</v>
      </c>
      <c r="E14" s="2" t="s">
        <v>197</v>
      </c>
      <c r="F14" s="136"/>
    </row>
    <row r="15" spans="1:9">
      <c r="A15" s="146"/>
      <c r="B15" s="154"/>
      <c r="C15" s="154"/>
      <c r="D15" s="2" t="s">
        <v>196</v>
      </c>
      <c r="E15" s="2" t="s">
        <v>198</v>
      </c>
      <c r="F15" s="136"/>
    </row>
    <row r="16" spans="1:9">
      <c r="A16" s="146"/>
      <c r="B16" s="155"/>
      <c r="C16" s="155"/>
      <c r="D16" s="2" t="s">
        <v>107</v>
      </c>
      <c r="E16" s="2" t="s">
        <v>197</v>
      </c>
      <c r="F16" s="137"/>
    </row>
    <row r="17" spans="1:6">
      <c r="A17" s="146"/>
      <c r="B17" s="153">
        <v>4</v>
      </c>
      <c r="C17" s="153" t="s">
        <v>202</v>
      </c>
      <c r="D17" s="2" t="s">
        <v>202</v>
      </c>
      <c r="E17" s="2" t="s">
        <v>194</v>
      </c>
      <c r="F17" s="135">
        <v>26000</v>
      </c>
    </row>
    <row r="18" spans="1:6">
      <c r="A18" s="146"/>
      <c r="B18" s="154"/>
      <c r="C18" s="154"/>
      <c r="D18" s="2" t="s">
        <v>195</v>
      </c>
      <c r="E18" s="2" t="s">
        <v>197</v>
      </c>
      <c r="F18" s="136"/>
    </row>
    <row r="19" spans="1:6">
      <c r="A19" s="146"/>
      <c r="B19" s="154"/>
      <c r="C19" s="154"/>
      <c r="D19" s="2" t="s">
        <v>196</v>
      </c>
      <c r="E19" s="2" t="s">
        <v>198</v>
      </c>
      <c r="F19" s="136"/>
    </row>
    <row r="20" spans="1:6">
      <c r="A20" s="146"/>
      <c r="B20" s="155"/>
      <c r="C20" s="155"/>
      <c r="D20" s="2" t="s">
        <v>107</v>
      </c>
      <c r="E20" s="2" t="s">
        <v>197</v>
      </c>
      <c r="F20" s="137"/>
    </row>
    <row r="21" spans="1:6">
      <c r="A21" s="146"/>
      <c r="B21" s="153">
        <v>5</v>
      </c>
      <c r="C21" s="153" t="s">
        <v>203</v>
      </c>
      <c r="D21" s="2" t="s">
        <v>102</v>
      </c>
      <c r="E21" s="2" t="s">
        <v>194</v>
      </c>
      <c r="F21" s="135">
        <v>24000</v>
      </c>
    </row>
    <row r="22" spans="1:6">
      <c r="A22" s="146"/>
      <c r="B22" s="154"/>
      <c r="C22" s="154"/>
      <c r="D22" s="2" t="s">
        <v>195</v>
      </c>
      <c r="E22" s="2" t="s">
        <v>197</v>
      </c>
      <c r="F22" s="136"/>
    </row>
    <row r="23" spans="1:6">
      <c r="A23" s="146"/>
      <c r="B23" s="154"/>
      <c r="C23" s="154"/>
      <c r="D23" s="2" t="s">
        <v>196</v>
      </c>
      <c r="E23" s="2" t="s">
        <v>198</v>
      </c>
      <c r="F23" s="136"/>
    </row>
    <row r="24" spans="1:6">
      <c r="A24" s="147"/>
      <c r="B24" s="155"/>
      <c r="C24" s="155"/>
      <c r="D24" s="2" t="s">
        <v>107</v>
      </c>
      <c r="E24" s="2" t="s">
        <v>197</v>
      </c>
      <c r="F24" s="137"/>
    </row>
    <row r="25" spans="1:6">
      <c r="A25" s="142" t="s">
        <v>183</v>
      </c>
      <c r="B25" s="153">
        <v>6</v>
      </c>
      <c r="C25" s="153" t="s">
        <v>204</v>
      </c>
      <c r="D25" s="2" t="s">
        <v>205</v>
      </c>
      <c r="E25" s="2" t="s">
        <v>197</v>
      </c>
      <c r="F25" s="135">
        <v>30000</v>
      </c>
    </row>
    <row r="26" spans="1:6">
      <c r="A26" s="143"/>
      <c r="B26" s="154"/>
      <c r="C26" s="154"/>
      <c r="D26" s="2" t="s">
        <v>206</v>
      </c>
      <c r="E26" s="2" t="s">
        <v>208</v>
      </c>
      <c r="F26" s="136"/>
    </row>
    <row r="27" spans="1:6">
      <c r="A27" s="143"/>
      <c r="B27" s="154"/>
      <c r="C27" s="154"/>
      <c r="D27" s="2" t="s">
        <v>183</v>
      </c>
      <c r="E27" s="2" t="s">
        <v>209</v>
      </c>
      <c r="F27" s="136"/>
    </row>
    <row r="28" spans="1:6">
      <c r="A28" s="143"/>
      <c r="B28" s="154"/>
      <c r="C28" s="154"/>
      <c r="D28" s="2" t="s">
        <v>207</v>
      </c>
      <c r="E28" s="2" t="s">
        <v>210</v>
      </c>
      <c r="F28" s="136"/>
    </row>
    <row r="29" spans="1:6">
      <c r="A29" s="143"/>
      <c r="B29" s="154"/>
      <c r="C29" s="154"/>
      <c r="D29" s="2" t="s">
        <v>195</v>
      </c>
      <c r="E29" s="2" t="s">
        <v>197</v>
      </c>
      <c r="F29" s="136"/>
    </row>
    <row r="30" spans="1:6">
      <c r="A30" s="143"/>
      <c r="B30" s="155"/>
      <c r="C30" s="155"/>
      <c r="D30" s="2" t="s">
        <v>196</v>
      </c>
      <c r="E30" s="2" t="s">
        <v>198</v>
      </c>
      <c r="F30" s="137"/>
    </row>
    <row r="31" spans="1:6">
      <c r="A31" s="143"/>
      <c r="B31" s="153">
        <v>7</v>
      </c>
      <c r="C31" s="153" t="s">
        <v>211</v>
      </c>
      <c r="D31" s="2" t="s">
        <v>183</v>
      </c>
      <c r="E31" s="2" t="s">
        <v>214</v>
      </c>
      <c r="F31" s="135">
        <v>30000</v>
      </c>
    </row>
    <row r="32" spans="1:6">
      <c r="A32" s="143"/>
      <c r="B32" s="154"/>
      <c r="C32" s="154"/>
      <c r="D32" s="2" t="s">
        <v>200</v>
      </c>
      <c r="E32" s="2" t="s">
        <v>215</v>
      </c>
      <c r="F32" s="136"/>
    </row>
    <row r="33" spans="1:6">
      <c r="A33" s="143"/>
      <c r="B33" s="154"/>
      <c r="C33" s="154"/>
      <c r="D33" s="2" t="s">
        <v>212</v>
      </c>
      <c r="E33" s="2" t="s">
        <v>216</v>
      </c>
      <c r="F33" s="136"/>
    </row>
    <row r="34" spans="1:6">
      <c r="A34" s="143"/>
      <c r="B34" s="154"/>
      <c r="C34" s="154"/>
      <c r="D34" s="2" t="s">
        <v>213</v>
      </c>
      <c r="E34" s="2" t="s">
        <v>216</v>
      </c>
      <c r="F34" s="136"/>
    </row>
    <row r="35" spans="1:6">
      <c r="A35" s="143"/>
      <c r="B35" s="154"/>
      <c r="C35" s="154"/>
      <c r="D35" s="2" t="s">
        <v>127</v>
      </c>
      <c r="E35" s="2" t="s">
        <v>217</v>
      </c>
      <c r="F35" s="136"/>
    </row>
    <row r="36" spans="1:6">
      <c r="A36" s="143"/>
      <c r="B36" s="154"/>
      <c r="C36" s="154"/>
      <c r="D36" s="2" t="s">
        <v>195</v>
      </c>
      <c r="E36" s="2" t="s">
        <v>197</v>
      </c>
      <c r="F36" s="136"/>
    </row>
    <row r="37" spans="1:6">
      <c r="A37" s="143"/>
      <c r="B37" s="155"/>
      <c r="C37" s="155"/>
      <c r="D37" s="2" t="s">
        <v>196</v>
      </c>
      <c r="E37" s="2" t="s">
        <v>198</v>
      </c>
      <c r="F37" s="137"/>
    </row>
    <row r="38" spans="1:6">
      <c r="A38" s="143"/>
      <c r="B38" s="153">
        <v>8</v>
      </c>
      <c r="C38" s="153" t="s">
        <v>218</v>
      </c>
      <c r="D38" s="2" t="s">
        <v>183</v>
      </c>
      <c r="E38" s="2" t="s">
        <v>194</v>
      </c>
      <c r="F38" s="135">
        <v>26000</v>
      </c>
    </row>
    <row r="39" spans="1:6">
      <c r="A39" s="143"/>
      <c r="B39" s="154"/>
      <c r="C39" s="154"/>
      <c r="D39" s="27" t="s">
        <v>212</v>
      </c>
      <c r="E39" s="27" t="s">
        <v>217</v>
      </c>
      <c r="F39" s="136"/>
    </row>
    <row r="40" spans="1:6">
      <c r="A40" s="143"/>
      <c r="B40" s="154"/>
      <c r="C40" s="154"/>
      <c r="D40" s="27" t="s">
        <v>207</v>
      </c>
      <c r="E40" s="27" t="s">
        <v>217</v>
      </c>
      <c r="F40" s="136"/>
    </row>
    <row r="41" spans="1:6">
      <c r="A41" s="143"/>
      <c r="B41" s="154"/>
      <c r="C41" s="154"/>
      <c r="D41" s="27" t="s">
        <v>195</v>
      </c>
      <c r="E41" s="27" t="s">
        <v>197</v>
      </c>
      <c r="F41" s="136"/>
    </row>
    <row r="42" spans="1:6">
      <c r="A42" s="143"/>
      <c r="B42" s="155"/>
      <c r="C42" s="155"/>
      <c r="D42" s="27" t="s">
        <v>196</v>
      </c>
      <c r="E42" s="27" t="s">
        <v>198</v>
      </c>
      <c r="F42" s="137"/>
    </row>
    <row r="43" spans="1:6">
      <c r="A43" s="143"/>
      <c r="B43" s="153">
        <v>9</v>
      </c>
      <c r="C43" s="153" t="s">
        <v>219</v>
      </c>
      <c r="D43" s="2" t="s">
        <v>220</v>
      </c>
      <c r="E43" s="2" t="s">
        <v>209</v>
      </c>
      <c r="F43" s="135">
        <v>28000</v>
      </c>
    </row>
    <row r="44" spans="1:6">
      <c r="A44" s="143"/>
      <c r="B44" s="154"/>
      <c r="C44" s="154"/>
      <c r="D44" s="2" t="s">
        <v>108</v>
      </c>
      <c r="E44" s="2" t="s">
        <v>197</v>
      </c>
      <c r="F44" s="136"/>
    </row>
    <row r="45" spans="1:6">
      <c r="A45" s="143"/>
      <c r="B45" s="154"/>
      <c r="C45" s="154"/>
      <c r="D45" s="2" t="s">
        <v>206</v>
      </c>
      <c r="E45" s="2" t="s">
        <v>208</v>
      </c>
      <c r="F45" s="136"/>
    </row>
    <row r="46" spans="1:6">
      <c r="A46" s="143"/>
      <c r="B46" s="154"/>
      <c r="C46" s="154"/>
      <c r="D46" s="2" t="s">
        <v>195</v>
      </c>
      <c r="E46" s="2" t="s">
        <v>197</v>
      </c>
      <c r="F46" s="136"/>
    </row>
    <row r="47" spans="1:6">
      <c r="A47" s="143"/>
      <c r="B47" s="155"/>
      <c r="C47" s="155"/>
      <c r="D47" s="2" t="s">
        <v>196</v>
      </c>
      <c r="E47" s="2" t="s">
        <v>198</v>
      </c>
      <c r="F47" s="137"/>
    </row>
    <row r="48" spans="1:6">
      <c r="A48" s="143"/>
      <c r="B48" s="153">
        <v>10</v>
      </c>
      <c r="C48" s="153" t="s">
        <v>221</v>
      </c>
      <c r="D48" s="2" t="s">
        <v>222</v>
      </c>
      <c r="E48" s="2" t="s">
        <v>224</v>
      </c>
      <c r="F48" s="135">
        <v>28000</v>
      </c>
    </row>
    <row r="49" spans="1:6">
      <c r="A49" s="143"/>
      <c r="B49" s="154"/>
      <c r="C49" s="154"/>
      <c r="D49" s="2" t="s">
        <v>223</v>
      </c>
      <c r="E49" s="2" t="s">
        <v>197</v>
      </c>
      <c r="F49" s="136"/>
    </row>
    <row r="50" spans="1:6">
      <c r="A50" s="143"/>
      <c r="B50" s="154"/>
      <c r="C50" s="154"/>
      <c r="D50" s="2" t="s">
        <v>195</v>
      </c>
      <c r="E50" s="2" t="s">
        <v>197</v>
      </c>
      <c r="F50" s="136"/>
    </row>
    <row r="51" spans="1:6">
      <c r="A51" s="143"/>
      <c r="B51" s="155"/>
      <c r="C51" s="155"/>
      <c r="D51" s="2" t="s">
        <v>196</v>
      </c>
      <c r="E51" s="2" t="s">
        <v>198</v>
      </c>
      <c r="F51" s="137"/>
    </row>
    <row r="52" spans="1:6">
      <c r="A52" s="143"/>
      <c r="B52" s="153">
        <v>11</v>
      </c>
      <c r="C52" s="153" t="s">
        <v>225</v>
      </c>
      <c r="D52" s="2" t="s">
        <v>183</v>
      </c>
      <c r="E52" s="2" t="s">
        <v>194</v>
      </c>
      <c r="F52" s="135">
        <v>24000</v>
      </c>
    </row>
    <row r="53" spans="1:6">
      <c r="A53" s="143"/>
      <c r="B53" s="154"/>
      <c r="C53" s="154"/>
      <c r="D53" s="2" t="s">
        <v>127</v>
      </c>
      <c r="E53" s="2" t="s">
        <v>210</v>
      </c>
      <c r="F53" s="136"/>
    </row>
    <row r="54" spans="1:6">
      <c r="A54" s="143"/>
      <c r="B54" s="154"/>
      <c r="C54" s="154"/>
      <c r="D54" s="2" t="s">
        <v>195</v>
      </c>
      <c r="E54" s="2" t="s">
        <v>197</v>
      </c>
      <c r="F54" s="136"/>
    </row>
    <row r="55" spans="1:6">
      <c r="A55" s="143"/>
      <c r="B55" s="155"/>
      <c r="C55" s="155"/>
      <c r="D55" s="2" t="s">
        <v>196</v>
      </c>
      <c r="E55" s="2" t="s">
        <v>198</v>
      </c>
      <c r="F55" s="137"/>
    </row>
    <row r="56" spans="1:6">
      <c r="A56" s="143"/>
      <c r="B56" s="153">
        <v>12</v>
      </c>
      <c r="C56" s="153" t="s">
        <v>226</v>
      </c>
      <c r="D56" s="2" t="s">
        <v>183</v>
      </c>
      <c r="E56" s="2" t="s">
        <v>194</v>
      </c>
      <c r="F56" s="135">
        <v>24000</v>
      </c>
    </row>
    <row r="57" spans="1:6">
      <c r="A57" s="143"/>
      <c r="B57" s="154"/>
      <c r="C57" s="154"/>
      <c r="D57" s="2" t="s">
        <v>213</v>
      </c>
      <c r="E57" s="2" t="s">
        <v>210</v>
      </c>
      <c r="F57" s="136"/>
    </row>
    <row r="58" spans="1:6">
      <c r="A58" s="143"/>
      <c r="B58" s="154"/>
      <c r="C58" s="154"/>
      <c r="D58" s="2" t="s">
        <v>195</v>
      </c>
      <c r="E58" s="2" t="s">
        <v>197</v>
      </c>
      <c r="F58" s="136"/>
    </row>
    <row r="59" spans="1:6">
      <c r="A59" s="143"/>
      <c r="B59" s="155"/>
      <c r="C59" s="155"/>
      <c r="D59" s="2" t="s">
        <v>196</v>
      </c>
      <c r="E59" s="2" t="s">
        <v>198</v>
      </c>
      <c r="F59" s="137"/>
    </row>
    <row r="60" spans="1:6">
      <c r="A60" s="143"/>
      <c r="B60" s="153">
        <v>13</v>
      </c>
      <c r="C60" s="153" t="s">
        <v>227</v>
      </c>
      <c r="D60" s="2" t="s">
        <v>183</v>
      </c>
      <c r="E60" s="2" t="s">
        <v>209</v>
      </c>
      <c r="F60" s="135">
        <v>24000</v>
      </c>
    </row>
    <row r="61" spans="1:6">
      <c r="A61" s="143"/>
      <c r="B61" s="154"/>
      <c r="C61" s="154"/>
      <c r="D61" s="27" t="s">
        <v>200</v>
      </c>
      <c r="E61" s="2" t="s">
        <v>208</v>
      </c>
      <c r="F61" s="136"/>
    </row>
    <row r="62" spans="1:6">
      <c r="A62" s="143"/>
      <c r="B62" s="154"/>
      <c r="C62" s="154"/>
      <c r="D62" s="27" t="s">
        <v>195</v>
      </c>
      <c r="E62" s="2" t="s">
        <v>197</v>
      </c>
      <c r="F62" s="136"/>
    </row>
    <row r="63" spans="1:6">
      <c r="A63" s="143"/>
      <c r="B63" s="155"/>
      <c r="C63" s="155"/>
      <c r="D63" s="27" t="s">
        <v>196</v>
      </c>
      <c r="E63" s="2" t="s">
        <v>198</v>
      </c>
      <c r="F63" s="137"/>
    </row>
    <row r="64" spans="1:6">
      <c r="A64" s="143"/>
      <c r="B64" s="153">
        <v>14</v>
      </c>
      <c r="C64" s="153" t="s">
        <v>228</v>
      </c>
      <c r="D64" s="2" t="s">
        <v>183</v>
      </c>
      <c r="E64" s="2" t="s">
        <v>209</v>
      </c>
      <c r="F64" s="135">
        <v>24000</v>
      </c>
    </row>
    <row r="65" spans="1:6">
      <c r="A65" s="143"/>
      <c r="B65" s="154"/>
      <c r="C65" s="154"/>
      <c r="D65" s="2" t="s">
        <v>102</v>
      </c>
      <c r="E65" s="2" t="s">
        <v>208</v>
      </c>
      <c r="F65" s="136"/>
    </row>
    <row r="66" spans="1:6">
      <c r="A66" s="143"/>
      <c r="B66" s="154"/>
      <c r="C66" s="154"/>
      <c r="D66" s="2" t="s">
        <v>195</v>
      </c>
      <c r="E66" s="2" t="s">
        <v>197</v>
      </c>
      <c r="F66" s="136"/>
    </row>
    <row r="67" spans="1:6">
      <c r="A67" s="143"/>
      <c r="B67" s="155"/>
      <c r="C67" s="155"/>
      <c r="D67" s="2" t="s">
        <v>196</v>
      </c>
      <c r="E67" s="2" t="s">
        <v>198</v>
      </c>
      <c r="F67" s="137"/>
    </row>
    <row r="68" spans="1:6">
      <c r="A68" s="143"/>
      <c r="B68" s="153">
        <v>15</v>
      </c>
      <c r="C68" s="153" t="s">
        <v>230</v>
      </c>
      <c r="D68" s="2" t="s">
        <v>183</v>
      </c>
      <c r="E68" s="2" t="s">
        <v>209</v>
      </c>
      <c r="F68" s="135">
        <v>26000</v>
      </c>
    </row>
    <row r="69" spans="1:6">
      <c r="A69" s="143"/>
      <c r="B69" s="154"/>
      <c r="C69" s="154"/>
      <c r="D69" s="2" t="s">
        <v>110</v>
      </c>
      <c r="E69" s="2" t="s">
        <v>197</v>
      </c>
      <c r="F69" s="136"/>
    </row>
    <row r="70" spans="1:6">
      <c r="A70" s="143"/>
      <c r="B70" s="154"/>
      <c r="C70" s="154"/>
      <c r="D70" s="2" t="s">
        <v>206</v>
      </c>
      <c r="E70" s="2" t="s">
        <v>208</v>
      </c>
      <c r="F70" s="136"/>
    </row>
    <row r="71" spans="1:6">
      <c r="A71" s="143"/>
      <c r="B71" s="154"/>
      <c r="C71" s="154"/>
      <c r="D71" s="2" t="s">
        <v>229</v>
      </c>
      <c r="E71" s="2" t="s">
        <v>197</v>
      </c>
      <c r="F71" s="136"/>
    </row>
    <row r="72" spans="1:6">
      <c r="A72" s="143"/>
      <c r="B72" s="155"/>
      <c r="C72" s="155"/>
      <c r="D72" s="2" t="s">
        <v>196</v>
      </c>
      <c r="E72" s="2" t="s">
        <v>198</v>
      </c>
      <c r="F72" s="137"/>
    </row>
    <row r="73" spans="1:6">
      <c r="A73" s="143"/>
      <c r="B73" s="153">
        <v>16</v>
      </c>
      <c r="C73" s="153" t="s">
        <v>231</v>
      </c>
      <c r="D73" s="2" t="s">
        <v>183</v>
      </c>
      <c r="E73" s="2" t="s">
        <v>209</v>
      </c>
      <c r="F73" s="135">
        <v>26000</v>
      </c>
    </row>
    <row r="74" spans="1:6">
      <c r="A74" s="143"/>
      <c r="B74" s="154"/>
      <c r="C74" s="154"/>
      <c r="D74" s="2" t="s">
        <v>202</v>
      </c>
      <c r="E74" s="2" t="s">
        <v>208</v>
      </c>
      <c r="F74" s="136"/>
    </row>
    <row r="75" spans="1:6">
      <c r="A75" s="143"/>
      <c r="B75" s="154"/>
      <c r="C75" s="154"/>
      <c r="D75" s="27" t="s">
        <v>195</v>
      </c>
      <c r="E75" s="27" t="s">
        <v>197</v>
      </c>
      <c r="F75" s="136"/>
    </row>
    <row r="76" spans="1:6">
      <c r="A76" s="144"/>
      <c r="B76" s="155"/>
      <c r="C76" s="155"/>
      <c r="D76" s="27" t="s">
        <v>196</v>
      </c>
      <c r="E76" s="27" t="s">
        <v>198</v>
      </c>
      <c r="F76" s="137"/>
    </row>
    <row r="77" spans="1:6">
      <c r="A77" s="150" t="s">
        <v>254</v>
      </c>
      <c r="B77" s="153">
        <v>17</v>
      </c>
      <c r="C77" s="153" t="s">
        <v>232</v>
      </c>
      <c r="D77" s="2" t="s">
        <v>91</v>
      </c>
      <c r="E77" s="2" t="s">
        <v>234</v>
      </c>
      <c r="F77" s="135">
        <v>28000</v>
      </c>
    </row>
    <row r="78" spans="1:6">
      <c r="A78" s="151"/>
      <c r="B78" s="154"/>
      <c r="C78" s="154"/>
      <c r="D78" s="2" t="s">
        <v>99</v>
      </c>
      <c r="E78" s="2" t="s">
        <v>235</v>
      </c>
      <c r="F78" s="136"/>
    </row>
    <row r="79" spans="1:6">
      <c r="A79" s="151"/>
      <c r="B79" s="154"/>
      <c r="C79" s="154"/>
      <c r="D79" s="2" t="s">
        <v>195</v>
      </c>
      <c r="E79" s="2" t="s">
        <v>197</v>
      </c>
      <c r="F79" s="136"/>
    </row>
    <row r="80" spans="1:6">
      <c r="A80" s="151"/>
      <c r="B80" s="155"/>
      <c r="C80" s="155"/>
      <c r="D80" s="2" t="s">
        <v>196</v>
      </c>
      <c r="E80" s="2" t="s">
        <v>198</v>
      </c>
      <c r="F80" s="137"/>
    </row>
    <row r="81" spans="1:6">
      <c r="A81" s="151"/>
      <c r="B81" s="153">
        <v>18</v>
      </c>
      <c r="C81" s="153" t="s">
        <v>233</v>
      </c>
      <c r="D81" s="2" t="s">
        <v>91</v>
      </c>
      <c r="E81" s="2" t="s">
        <v>224</v>
      </c>
      <c r="F81" s="135">
        <v>24000</v>
      </c>
    </row>
    <row r="82" spans="1:6">
      <c r="A82" s="151"/>
      <c r="B82" s="154"/>
      <c r="C82" s="154"/>
      <c r="D82" s="2" t="s">
        <v>105</v>
      </c>
      <c r="E82" s="2" t="s">
        <v>197</v>
      </c>
      <c r="F82" s="136"/>
    </row>
    <row r="83" spans="1:6">
      <c r="A83" s="151"/>
      <c r="B83" s="155"/>
      <c r="C83" s="155"/>
      <c r="D83" s="2" t="s">
        <v>196</v>
      </c>
      <c r="E83" s="2" t="s">
        <v>198</v>
      </c>
      <c r="F83" s="136"/>
    </row>
    <row r="84" spans="1:6">
      <c r="A84" s="151"/>
      <c r="B84" s="153">
        <v>19</v>
      </c>
      <c r="C84" s="153" t="s">
        <v>236</v>
      </c>
      <c r="D84" s="2" t="s">
        <v>99</v>
      </c>
      <c r="E84" s="2" t="s">
        <v>224</v>
      </c>
      <c r="F84" s="136">
        <v>26000</v>
      </c>
    </row>
    <row r="85" spans="1:6">
      <c r="A85" s="151"/>
      <c r="B85" s="154"/>
      <c r="C85" s="154"/>
      <c r="D85" s="2" t="s">
        <v>195</v>
      </c>
      <c r="E85" s="2" t="s">
        <v>197</v>
      </c>
      <c r="F85" s="136"/>
    </row>
    <row r="86" spans="1:6">
      <c r="A86" s="151"/>
      <c r="B86" s="155"/>
      <c r="C86" s="155"/>
      <c r="D86" s="2" t="s">
        <v>196</v>
      </c>
      <c r="E86" s="2" t="s">
        <v>198</v>
      </c>
      <c r="F86" s="137"/>
    </row>
    <row r="87" spans="1:6">
      <c r="A87" s="151"/>
      <c r="B87" s="153">
        <v>20</v>
      </c>
      <c r="C87" s="153" t="s">
        <v>202</v>
      </c>
      <c r="D87" s="2" t="s">
        <v>202</v>
      </c>
      <c r="E87" s="2" t="s">
        <v>224</v>
      </c>
      <c r="F87" s="139">
        <v>26000</v>
      </c>
    </row>
    <row r="88" spans="1:6">
      <c r="A88" s="151"/>
      <c r="B88" s="154"/>
      <c r="C88" s="154"/>
      <c r="D88" s="2" t="s">
        <v>195</v>
      </c>
      <c r="E88" s="2" t="s">
        <v>197</v>
      </c>
      <c r="F88" s="140"/>
    </row>
    <row r="89" spans="1:6">
      <c r="A89" s="151"/>
      <c r="B89" s="155"/>
      <c r="C89" s="155"/>
      <c r="D89" s="2" t="s">
        <v>196</v>
      </c>
      <c r="E89" s="2" t="s">
        <v>198</v>
      </c>
      <c r="F89" s="141"/>
    </row>
    <row r="90" spans="1:6">
      <c r="A90" s="151"/>
      <c r="B90" s="153">
        <v>21</v>
      </c>
      <c r="C90" s="153" t="s">
        <v>200</v>
      </c>
      <c r="D90" s="2" t="s">
        <v>200</v>
      </c>
      <c r="E90" s="2" t="s">
        <v>224</v>
      </c>
      <c r="F90" s="139">
        <v>26000</v>
      </c>
    </row>
    <row r="91" spans="1:6">
      <c r="A91" s="151"/>
      <c r="B91" s="154"/>
      <c r="C91" s="154"/>
      <c r="D91" s="2" t="s">
        <v>195</v>
      </c>
      <c r="E91" s="2" t="s">
        <v>197</v>
      </c>
      <c r="F91" s="140"/>
    </row>
    <row r="92" spans="1:6">
      <c r="A92" s="151"/>
      <c r="B92" s="155"/>
      <c r="C92" s="155"/>
      <c r="D92" s="2" t="s">
        <v>196</v>
      </c>
      <c r="E92" s="2" t="s">
        <v>198</v>
      </c>
      <c r="F92" s="141"/>
    </row>
    <row r="93" spans="1:6">
      <c r="A93" s="151"/>
      <c r="B93" s="153">
        <v>22</v>
      </c>
      <c r="C93" s="153" t="s">
        <v>102</v>
      </c>
      <c r="D93" s="2" t="s">
        <v>102</v>
      </c>
      <c r="E93" s="2" t="s">
        <v>224</v>
      </c>
      <c r="F93" s="139">
        <v>24000</v>
      </c>
    </row>
    <row r="94" spans="1:6">
      <c r="A94" s="151"/>
      <c r="B94" s="154"/>
      <c r="C94" s="154"/>
      <c r="D94" s="2" t="s">
        <v>195</v>
      </c>
      <c r="E94" s="2" t="s">
        <v>197</v>
      </c>
      <c r="F94" s="140"/>
    </row>
    <row r="95" spans="1:6">
      <c r="A95" s="152"/>
      <c r="B95" s="155"/>
      <c r="C95" s="155"/>
      <c r="D95" s="2" t="s">
        <v>196</v>
      </c>
      <c r="E95" s="2" t="s">
        <v>198</v>
      </c>
      <c r="F95" s="141"/>
    </row>
    <row r="96" spans="1:6" ht="15" customHeight="1">
      <c r="A96" s="150" t="s">
        <v>253</v>
      </c>
      <c r="B96" s="153">
        <v>23</v>
      </c>
      <c r="C96" s="153" t="s">
        <v>237</v>
      </c>
      <c r="D96" s="2" t="s">
        <v>114</v>
      </c>
      <c r="E96" s="2" t="s">
        <v>209</v>
      </c>
      <c r="F96" s="135">
        <v>26000</v>
      </c>
    </row>
    <row r="97" spans="1:6">
      <c r="A97" s="151"/>
      <c r="B97" s="154"/>
      <c r="C97" s="154"/>
      <c r="D97" s="2" t="s">
        <v>126</v>
      </c>
      <c r="E97" s="2" t="s">
        <v>217</v>
      </c>
      <c r="F97" s="136"/>
    </row>
    <row r="98" spans="1:6">
      <c r="A98" s="151"/>
      <c r="B98" s="154"/>
      <c r="C98" s="154"/>
      <c r="D98" s="2" t="s">
        <v>105</v>
      </c>
      <c r="E98" s="2" t="s">
        <v>197</v>
      </c>
      <c r="F98" s="136"/>
    </row>
    <row r="99" spans="1:6">
      <c r="A99" s="151"/>
      <c r="B99" s="155"/>
      <c r="C99" s="155"/>
      <c r="D99" s="2" t="s">
        <v>196</v>
      </c>
      <c r="E99" s="2" t="s">
        <v>198</v>
      </c>
      <c r="F99" s="137"/>
    </row>
    <row r="100" spans="1:6">
      <c r="A100" s="151"/>
      <c r="B100" s="153">
        <v>24</v>
      </c>
      <c r="C100" s="153" t="s">
        <v>238</v>
      </c>
      <c r="D100" s="2" t="s">
        <v>239</v>
      </c>
      <c r="E100" s="2" t="s">
        <v>241</v>
      </c>
      <c r="F100" s="135">
        <v>28000</v>
      </c>
    </row>
    <row r="101" spans="1:6">
      <c r="A101" s="151"/>
      <c r="B101" s="154"/>
      <c r="C101" s="154"/>
      <c r="D101" s="2" t="s">
        <v>116</v>
      </c>
      <c r="E101" s="2" t="s">
        <v>235</v>
      </c>
      <c r="F101" s="136"/>
    </row>
    <row r="102" spans="1:6">
      <c r="A102" s="151"/>
      <c r="B102" s="154"/>
      <c r="C102" s="154"/>
      <c r="D102" s="2" t="s">
        <v>240</v>
      </c>
      <c r="E102" s="2" t="s">
        <v>235</v>
      </c>
      <c r="F102" s="136"/>
    </row>
    <row r="103" spans="1:6">
      <c r="A103" s="151"/>
      <c r="B103" s="154"/>
      <c r="C103" s="154"/>
      <c r="D103" s="2" t="s">
        <v>117</v>
      </c>
      <c r="E103" s="2" t="s">
        <v>197</v>
      </c>
      <c r="F103" s="136"/>
    </row>
    <row r="104" spans="1:6">
      <c r="A104" s="151"/>
      <c r="B104" s="154"/>
      <c r="C104" s="154"/>
      <c r="D104" s="2" t="s">
        <v>105</v>
      </c>
      <c r="E104" s="2" t="s">
        <v>197</v>
      </c>
      <c r="F104" s="136"/>
    </row>
    <row r="105" spans="1:6">
      <c r="A105" s="151"/>
      <c r="B105" s="155"/>
      <c r="C105" s="155"/>
      <c r="D105" s="2" t="s">
        <v>196</v>
      </c>
      <c r="E105" s="2" t="s">
        <v>198</v>
      </c>
      <c r="F105" s="137"/>
    </row>
    <row r="106" spans="1:6">
      <c r="A106" s="151"/>
      <c r="B106" s="153">
        <v>25</v>
      </c>
      <c r="C106" s="153" t="s">
        <v>242</v>
      </c>
      <c r="D106" s="2" t="s">
        <v>200</v>
      </c>
      <c r="E106" s="2" t="s">
        <v>234</v>
      </c>
      <c r="F106" s="135">
        <v>26000</v>
      </c>
    </row>
    <row r="107" spans="1:6">
      <c r="A107" s="151"/>
      <c r="B107" s="154"/>
      <c r="C107" s="154"/>
      <c r="D107" s="2" t="s">
        <v>118</v>
      </c>
      <c r="E107" s="2" t="s">
        <v>235</v>
      </c>
      <c r="F107" s="136"/>
    </row>
    <row r="108" spans="1:6">
      <c r="A108" s="151"/>
      <c r="B108" s="154"/>
      <c r="C108" s="154"/>
      <c r="D108" s="2" t="s">
        <v>105</v>
      </c>
      <c r="E108" s="2" t="s">
        <v>197</v>
      </c>
      <c r="F108" s="136"/>
    </row>
    <row r="109" spans="1:6">
      <c r="A109" s="151"/>
      <c r="B109" s="155"/>
      <c r="C109" s="155"/>
      <c r="D109" s="2" t="s">
        <v>196</v>
      </c>
      <c r="E109" s="2" t="s">
        <v>198</v>
      </c>
      <c r="F109" s="137"/>
    </row>
    <row r="110" spans="1:6">
      <c r="A110" s="151"/>
      <c r="B110" s="153">
        <v>26</v>
      </c>
      <c r="C110" s="153" t="s">
        <v>243</v>
      </c>
      <c r="D110" s="2" t="s">
        <v>99</v>
      </c>
      <c r="E110" s="2" t="s">
        <v>234</v>
      </c>
      <c r="F110" s="135">
        <v>26000</v>
      </c>
    </row>
    <row r="111" spans="1:6">
      <c r="A111" s="151"/>
      <c r="B111" s="154"/>
      <c r="C111" s="154"/>
      <c r="D111" s="2" t="s">
        <v>118</v>
      </c>
      <c r="E111" s="2" t="s">
        <v>235</v>
      </c>
      <c r="F111" s="136"/>
    </row>
    <row r="112" spans="1:6">
      <c r="A112" s="151"/>
      <c r="B112" s="154"/>
      <c r="C112" s="154"/>
      <c r="D112" s="2" t="s">
        <v>105</v>
      </c>
      <c r="E112" s="2" t="s">
        <v>197</v>
      </c>
      <c r="F112" s="136"/>
    </row>
    <row r="113" spans="1:6">
      <c r="A113" s="151"/>
      <c r="B113" s="155"/>
      <c r="C113" s="155"/>
      <c r="D113" s="2" t="s">
        <v>196</v>
      </c>
      <c r="E113" s="2" t="s">
        <v>198</v>
      </c>
      <c r="F113" s="137"/>
    </row>
    <row r="114" spans="1:6">
      <c r="A114" s="151"/>
      <c r="B114" s="153">
        <v>27</v>
      </c>
      <c r="C114" s="153" t="s">
        <v>244</v>
      </c>
      <c r="D114" s="2" t="s">
        <v>99</v>
      </c>
      <c r="E114" s="2" t="s">
        <v>234</v>
      </c>
      <c r="F114" s="135">
        <v>26000</v>
      </c>
    </row>
    <row r="115" spans="1:6">
      <c r="A115" s="151"/>
      <c r="B115" s="154"/>
      <c r="C115" s="154"/>
      <c r="D115" s="2" t="s">
        <v>119</v>
      </c>
      <c r="E115" s="2" t="s">
        <v>235</v>
      </c>
      <c r="F115" s="136"/>
    </row>
    <row r="116" spans="1:6">
      <c r="A116" s="151"/>
      <c r="B116" s="154"/>
      <c r="C116" s="154"/>
      <c r="D116" s="2" t="s">
        <v>105</v>
      </c>
      <c r="E116" s="2" t="s">
        <v>197</v>
      </c>
      <c r="F116" s="136"/>
    </row>
    <row r="117" spans="1:6">
      <c r="A117" s="152"/>
      <c r="B117" s="155"/>
      <c r="C117" s="155"/>
      <c r="D117" s="2" t="s">
        <v>196</v>
      </c>
      <c r="E117" s="2" t="s">
        <v>198</v>
      </c>
      <c r="F117" s="137"/>
    </row>
    <row r="118" spans="1:6">
      <c r="A118" s="150" t="s">
        <v>252</v>
      </c>
      <c r="B118" s="153">
        <v>28</v>
      </c>
      <c r="C118" s="153" t="s">
        <v>245</v>
      </c>
      <c r="D118" s="2" t="s">
        <v>108</v>
      </c>
      <c r="E118" s="2" t="s">
        <v>197</v>
      </c>
      <c r="F118" s="135">
        <v>26000</v>
      </c>
    </row>
    <row r="119" spans="1:6">
      <c r="A119" s="151"/>
      <c r="B119" s="154"/>
      <c r="C119" s="154"/>
      <c r="D119" s="2" t="s">
        <v>206</v>
      </c>
      <c r="E119" s="2" t="s">
        <v>208</v>
      </c>
      <c r="F119" s="136"/>
    </row>
    <row r="120" spans="1:6">
      <c r="A120" s="151"/>
      <c r="B120" s="154"/>
      <c r="C120" s="154"/>
      <c r="D120" s="2" t="s">
        <v>246</v>
      </c>
      <c r="E120" s="2" t="s">
        <v>247</v>
      </c>
      <c r="F120" s="136"/>
    </row>
    <row r="121" spans="1:6">
      <c r="A121" s="151"/>
      <c r="B121" s="154"/>
      <c r="C121" s="154"/>
      <c r="D121" s="2" t="s">
        <v>105</v>
      </c>
      <c r="E121" s="2" t="s">
        <v>197</v>
      </c>
      <c r="F121" s="136"/>
    </row>
    <row r="122" spans="1:6">
      <c r="A122" s="151"/>
      <c r="B122" s="155"/>
      <c r="C122" s="155"/>
      <c r="D122" s="2" t="s">
        <v>107</v>
      </c>
      <c r="E122" s="2" t="s">
        <v>197</v>
      </c>
      <c r="F122" s="137"/>
    </row>
    <row r="123" spans="1:6">
      <c r="A123" s="151"/>
      <c r="B123" s="153">
        <v>29</v>
      </c>
      <c r="C123" s="153" t="s">
        <v>248</v>
      </c>
      <c r="D123" s="2" t="s">
        <v>110</v>
      </c>
      <c r="E123" s="2" t="s">
        <v>197</v>
      </c>
      <c r="F123" s="135">
        <v>26000</v>
      </c>
    </row>
    <row r="124" spans="1:6">
      <c r="A124" s="151"/>
      <c r="B124" s="154"/>
      <c r="C124" s="154"/>
      <c r="D124" s="2" t="s">
        <v>206</v>
      </c>
      <c r="E124" s="2" t="s">
        <v>208</v>
      </c>
      <c r="F124" s="136"/>
    </row>
    <row r="125" spans="1:6">
      <c r="A125" s="151"/>
      <c r="B125" s="154"/>
      <c r="C125" s="154"/>
      <c r="D125" s="2" t="s">
        <v>196</v>
      </c>
      <c r="E125" s="2" t="s">
        <v>247</v>
      </c>
      <c r="F125" s="136"/>
    </row>
    <row r="126" spans="1:6">
      <c r="A126" s="151"/>
      <c r="B126" s="154"/>
      <c r="C126" s="154"/>
      <c r="D126" s="26" t="s">
        <v>105</v>
      </c>
      <c r="E126" s="2" t="s">
        <v>197</v>
      </c>
      <c r="F126" s="136"/>
    </row>
    <row r="127" spans="1:6">
      <c r="A127" s="151"/>
      <c r="B127" s="155"/>
      <c r="C127" s="155"/>
      <c r="D127" s="2" t="s">
        <v>107</v>
      </c>
      <c r="E127" s="2" t="s">
        <v>197</v>
      </c>
      <c r="F127" s="137"/>
    </row>
    <row r="128" spans="1:6">
      <c r="A128" s="151"/>
      <c r="B128" s="153">
        <v>30</v>
      </c>
      <c r="C128" s="153" t="s">
        <v>249</v>
      </c>
      <c r="D128" s="2" t="s">
        <v>205</v>
      </c>
      <c r="E128" s="2" t="s">
        <v>197</v>
      </c>
      <c r="F128" s="135">
        <v>28000</v>
      </c>
    </row>
    <row r="129" spans="1:6">
      <c r="A129" s="151"/>
      <c r="B129" s="154"/>
      <c r="C129" s="154"/>
      <c r="D129" s="2" t="s">
        <v>206</v>
      </c>
      <c r="E129" s="2" t="s">
        <v>208</v>
      </c>
      <c r="F129" s="136"/>
    </row>
    <row r="130" spans="1:6">
      <c r="A130" s="151"/>
      <c r="B130" s="154"/>
      <c r="C130" s="154"/>
      <c r="D130" s="2" t="s">
        <v>196</v>
      </c>
      <c r="E130" s="2" t="s">
        <v>247</v>
      </c>
      <c r="F130" s="136"/>
    </row>
    <row r="131" spans="1:6">
      <c r="A131" s="151"/>
      <c r="B131" s="154"/>
      <c r="C131" s="154"/>
      <c r="D131" s="2" t="s">
        <v>105</v>
      </c>
      <c r="E131" s="2" t="s">
        <v>197</v>
      </c>
      <c r="F131" s="136"/>
    </row>
    <row r="132" spans="1:6">
      <c r="A132" s="151"/>
      <c r="B132" s="155"/>
      <c r="C132" s="155"/>
      <c r="D132" s="2" t="s">
        <v>107</v>
      </c>
      <c r="E132" s="2" t="s">
        <v>197</v>
      </c>
      <c r="F132" s="137"/>
    </row>
    <row r="133" spans="1:6">
      <c r="A133" s="151"/>
      <c r="B133" s="153">
        <v>31</v>
      </c>
      <c r="C133" s="153" t="s">
        <v>250</v>
      </c>
      <c r="D133" s="2" t="s">
        <v>119</v>
      </c>
      <c r="E133" s="2" t="s">
        <v>251</v>
      </c>
      <c r="F133" s="135">
        <v>26000</v>
      </c>
    </row>
    <row r="134" spans="1:6">
      <c r="A134" s="151"/>
      <c r="B134" s="154"/>
      <c r="C134" s="154"/>
      <c r="D134" s="2" t="s">
        <v>196</v>
      </c>
      <c r="E134" s="2" t="s">
        <v>247</v>
      </c>
      <c r="F134" s="136"/>
    </row>
    <row r="135" spans="1:6">
      <c r="A135" s="151"/>
      <c r="B135" s="154"/>
      <c r="C135" s="154"/>
      <c r="D135" s="2" t="s">
        <v>105</v>
      </c>
      <c r="E135" s="2" t="s">
        <v>197</v>
      </c>
      <c r="F135" s="136"/>
    </row>
    <row r="136" spans="1:6">
      <c r="A136" s="151"/>
      <c r="B136" s="155"/>
      <c r="C136" s="155"/>
      <c r="D136" s="2" t="s">
        <v>107</v>
      </c>
      <c r="E136" s="2" t="s">
        <v>197</v>
      </c>
      <c r="F136" s="137"/>
    </row>
    <row r="137" spans="1:6">
      <c r="A137" s="148"/>
      <c r="B137" s="156"/>
      <c r="C137" s="138"/>
      <c r="D137" s="10"/>
      <c r="E137" s="10"/>
      <c r="F137" s="138"/>
    </row>
    <row r="138" spans="1:6">
      <c r="A138" s="149"/>
      <c r="B138" s="156"/>
      <c r="C138" s="138"/>
      <c r="D138" s="10"/>
      <c r="E138" s="10"/>
      <c r="F138" s="138"/>
    </row>
    <row r="139" spans="1:6">
      <c r="A139" s="149"/>
      <c r="B139" s="28"/>
      <c r="C139" s="29"/>
      <c r="D139" s="10"/>
      <c r="E139" s="10"/>
      <c r="F139" s="29"/>
    </row>
    <row r="140" spans="1:6">
      <c r="A140" s="149"/>
      <c r="B140" s="28"/>
      <c r="C140" s="29"/>
      <c r="D140" s="10"/>
      <c r="E140" s="10"/>
      <c r="F140" s="29"/>
    </row>
    <row r="141" spans="1:6">
      <c r="A141" s="149"/>
      <c r="B141" s="28"/>
      <c r="C141" s="29"/>
      <c r="D141" s="10"/>
      <c r="E141" s="10"/>
      <c r="F141" s="29"/>
    </row>
    <row r="142" spans="1:6">
      <c r="A142" s="149"/>
      <c r="B142" s="28"/>
      <c r="C142" s="29"/>
      <c r="D142" s="10"/>
      <c r="E142" s="10"/>
      <c r="F142" s="29"/>
    </row>
    <row r="143" spans="1:6">
      <c r="A143" s="149"/>
      <c r="B143" s="28"/>
      <c r="C143" s="29"/>
      <c r="D143" s="10"/>
      <c r="E143" s="10"/>
      <c r="F143" s="29"/>
    </row>
    <row r="144" spans="1:6">
      <c r="A144" s="149"/>
      <c r="B144" s="28"/>
      <c r="C144" s="29"/>
      <c r="D144" s="10"/>
      <c r="E144" s="10"/>
      <c r="F144" s="29"/>
    </row>
    <row r="145" spans="1:6">
      <c r="A145" s="149"/>
      <c r="B145" s="28"/>
      <c r="C145" s="29"/>
      <c r="D145" s="10"/>
      <c r="E145" s="10"/>
      <c r="F145" s="29"/>
    </row>
    <row r="146" spans="1:6">
      <c r="A146" s="149"/>
      <c r="B146" s="28"/>
      <c r="C146" s="29"/>
      <c r="D146" s="10"/>
      <c r="E146" s="10"/>
      <c r="F146" s="29"/>
    </row>
    <row r="147" spans="1:6">
      <c r="A147" s="149"/>
      <c r="B147" s="28"/>
      <c r="C147" s="29"/>
      <c r="D147" s="10"/>
      <c r="E147" s="10"/>
      <c r="F147" s="29"/>
    </row>
    <row r="148" spans="1:6">
      <c r="A148" s="149"/>
      <c r="B148" s="138"/>
      <c r="C148" s="138"/>
      <c r="D148" s="10"/>
      <c r="E148" s="10"/>
      <c r="F148" s="138"/>
    </row>
    <row r="149" spans="1:6">
      <c r="A149" s="149"/>
      <c r="B149" s="138"/>
      <c r="C149" s="138"/>
      <c r="D149" s="10"/>
      <c r="E149" s="10"/>
      <c r="F149" s="138"/>
    </row>
    <row r="150" spans="1:6">
      <c r="A150" s="149"/>
      <c r="B150" s="138"/>
      <c r="C150" s="138"/>
      <c r="D150" s="10"/>
      <c r="E150" s="10"/>
      <c r="F150" s="138"/>
    </row>
    <row r="151" spans="1:6">
      <c r="A151" s="149"/>
      <c r="B151" s="138"/>
      <c r="C151" s="138"/>
      <c r="D151" s="10"/>
      <c r="E151" s="10"/>
      <c r="F151" s="138"/>
    </row>
    <row r="152" spans="1:6">
      <c r="A152" s="149"/>
      <c r="B152" s="138"/>
      <c r="C152" s="138"/>
      <c r="D152" s="10"/>
      <c r="E152" s="10"/>
      <c r="F152" s="138"/>
    </row>
    <row r="153" spans="1:6">
      <c r="A153" s="10"/>
      <c r="B153" s="10"/>
      <c r="C153" s="10"/>
      <c r="D153" s="10"/>
      <c r="E153" s="10"/>
      <c r="F153" s="10"/>
    </row>
    <row r="154" spans="1:6">
      <c r="A154" s="10"/>
      <c r="B154" s="10"/>
      <c r="C154" s="10"/>
      <c r="D154" s="10"/>
      <c r="E154" s="10"/>
      <c r="F154" s="10"/>
    </row>
    <row r="155" spans="1:6">
      <c r="A155" s="10"/>
      <c r="B155" s="10"/>
      <c r="C155" s="10"/>
      <c r="D155" s="10"/>
      <c r="E155" s="10"/>
      <c r="F155" s="10"/>
    </row>
    <row r="156" spans="1:6">
      <c r="A156" s="10"/>
      <c r="B156" s="10"/>
      <c r="C156" s="10"/>
      <c r="D156" s="10"/>
      <c r="E156" s="10"/>
      <c r="F156" s="10"/>
    </row>
    <row r="157" spans="1:6">
      <c r="A157" s="10"/>
      <c r="B157" s="10"/>
      <c r="C157" s="10"/>
      <c r="D157" s="10"/>
      <c r="E157" s="10"/>
      <c r="F157" s="10"/>
    </row>
    <row r="158" spans="1:6">
      <c r="A158" s="10"/>
      <c r="B158" s="10"/>
      <c r="C158" s="10"/>
      <c r="D158" s="10"/>
      <c r="E158" s="10"/>
      <c r="F158" s="10"/>
    </row>
    <row r="159" spans="1:6">
      <c r="A159" s="10"/>
      <c r="B159" s="10"/>
      <c r="C159" s="10"/>
      <c r="D159" s="10"/>
      <c r="E159" s="10"/>
      <c r="F159" s="10"/>
    </row>
    <row r="160" spans="1:6">
      <c r="A160" s="10"/>
      <c r="B160" s="10"/>
      <c r="C160" s="10"/>
      <c r="D160" s="10"/>
      <c r="E160" s="10"/>
      <c r="F160" s="10"/>
    </row>
    <row r="161" spans="1:6">
      <c r="A161" s="10"/>
      <c r="B161" s="10"/>
      <c r="C161" s="10"/>
      <c r="D161" s="10"/>
      <c r="E161" s="10"/>
      <c r="F161" s="10"/>
    </row>
    <row r="162" spans="1:6">
      <c r="A162" s="10"/>
      <c r="B162" s="10"/>
      <c r="C162" s="10"/>
      <c r="D162" s="10"/>
      <c r="E162" s="10"/>
      <c r="F162" s="10"/>
    </row>
    <row r="163" spans="1:6">
      <c r="A163" s="10"/>
      <c r="B163" s="10"/>
      <c r="C163" s="10"/>
      <c r="D163" s="10"/>
      <c r="E163" s="10"/>
      <c r="F163" s="10"/>
    </row>
    <row r="164" spans="1:6">
      <c r="A164" s="10"/>
      <c r="B164" s="10"/>
      <c r="C164" s="10"/>
      <c r="D164" s="10"/>
      <c r="E164" s="10"/>
      <c r="F164" s="10"/>
    </row>
    <row r="165" spans="1:6">
      <c r="A165" s="10"/>
      <c r="B165" s="10"/>
      <c r="C165" s="10"/>
      <c r="D165" s="10"/>
      <c r="E165" s="10"/>
      <c r="F165" s="10"/>
    </row>
    <row r="166" spans="1:6">
      <c r="A166" s="10"/>
      <c r="B166" s="10"/>
      <c r="C166" s="10"/>
      <c r="D166" s="10"/>
      <c r="E166" s="10"/>
      <c r="F166" s="10"/>
    </row>
    <row r="167" spans="1:6">
      <c r="A167" s="10"/>
      <c r="B167" s="10"/>
      <c r="C167" s="10"/>
      <c r="D167" s="10"/>
      <c r="E167" s="10"/>
      <c r="F167" s="10"/>
    </row>
    <row r="168" spans="1:6">
      <c r="A168" s="10"/>
      <c r="B168" s="10"/>
      <c r="C168" s="10"/>
      <c r="D168" s="10"/>
      <c r="E168" s="10"/>
      <c r="F168" s="10"/>
    </row>
    <row r="169" spans="1:6">
      <c r="A169" s="10"/>
      <c r="B169" s="10"/>
      <c r="C169" s="10"/>
      <c r="D169" s="10"/>
      <c r="E169" s="10"/>
      <c r="F169" s="10"/>
    </row>
    <row r="170" spans="1:6">
      <c r="A170" s="10"/>
      <c r="B170" s="10"/>
      <c r="C170" s="10"/>
      <c r="D170" s="10"/>
      <c r="E170" s="10"/>
      <c r="F170" s="10"/>
    </row>
    <row r="171" spans="1:6">
      <c r="A171" s="10"/>
      <c r="B171" s="10"/>
      <c r="C171" s="10"/>
      <c r="D171" s="10"/>
      <c r="E171" s="10"/>
      <c r="F171" s="10"/>
    </row>
    <row r="172" spans="1:6">
      <c r="A172" s="10"/>
      <c r="B172" s="10"/>
      <c r="C172" s="10"/>
      <c r="D172" s="10"/>
      <c r="E172" s="10"/>
      <c r="F172" s="10"/>
    </row>
    <row r="173" spans="1:6">
      <c r="A173" s="10"/>
      <c r="B173" s="10"/>
      <c r="C173" s="10"/>
      <c r="D173" s="10"/>
      <c r="E173" s="10"/>
      <c r="F173" s="10"/>
    </row>
    <row r="174" spans="1:6">
      <c r="A174" s="10"/>
      <c r="B174" s="10"/>
      <c r="C174" s="10"/>
      <c r="D174" s="10"/>
      <c r="E174" s="10"/>
      <c r="F174" s="10"/>
    </row>
    <row r="175" spans="1:6">
      <c r="A175" s="10"/>
      <c r="B175" s="10"/>
      <c r="C175" s="10"/>
      <c r="D175" s="10"/>
      <c r="E175" s="10"/>
      <c r="F175" s="10"/>
    </row>
    <row r="176" spans="1:6">
      <c r="A176" s="10"/>
      <c r="B176" s="10"/>
      <c r="C176" s="10"/>
      <c r="D176" s="10"/>
      <c r="E176" s="10"/>
      <c r="F176" s="10"/>
    </row>
    <row r="177" spans="1:6">
      <c r="A177" s="10"/>
      <c r="B177" s="10"/>
      <c r="C177" s="10"/>
      <c r="D177" s="10"/>
      <c r="E177" s="10"/>
      <c r="F177" s="10"/>
    </row>
    <row r="178" spans="1:6">
      <c r="A178" s="10"/>
      <c r="B178" s="10"/>
      <c r="C178" s="10"/>
      <c r="D178" s="10"/>
      <c r="E178" s="10"/>
      <c r="F178" s="10"/>
    </row>
    <row r="179" spans="1:6">
      <c r="A179" s="10"/>
      <c r="B179" s="10"/>
      <c r="C179" s="10"/>
      <c r="D179" s="10"/>
      <c r="E179" s="10"/>
      <c r="F179" s="10"/>
    </row>
    <row r="180" spans="1:6">
      <c r="A180" s="10"/>
      <c r="B180" s="10"/>
      <c r="C180" s="10"/>
      <c r="D180" s="10"/>
      <c r="E180" s="10"/>
      <c r="F180" s="10"/>
    </row>
    <row r="181" spans="1:6">
      <c r="A181" s="10"/>
      <c r="B181" s="10"/>
      <c r="C181" s="10"/>
      <c r="D181" s="10"/>
      <c r="E181" s="10"/>
      <c r="F181" s="10"/>
    </row>
    <row r="182" spans="1:6">
      <c r="A182" s="10"/>
      <c r="B182" s="10"/>
      <c r="C182" s="10"/>
      <c r="D182" s="10"/>
      <c r="E182" s="10"/>
      <c r="F182" s="10"/>
    </row>
    <row r="183" spans="1:6">
      <c r="A183" s="10"/>
      <c r="B183" s="10"/>
      <c r="C183" s="10"/>
      <c r="D183" s="10"/>
      <c r="E183" s="10"/>
      <c r="F183" s="10"/>
    </row>
    <row r="184" spans="1:6">
      <c r="A184" s="10"/>
      <c r="B184" s="10"/>
      <c r="C184" s="10"/>
      <c r="D184" s="10"/>
      <c r="E184" s="10"/>
      <c r="F184" s="10"/>
    </row>
    <row r="185" spans="1:6">
      <c r="A185" s="10"/>
      <c r="B185" s="10"/>
      <c r="C185" s="10"/>
      <c r="D185" s="10"/>
      <c r="E185" s="10"/>
      <c r="F185" s="10"/>
    </row>
    <row r="186" spans="1:6">
      <c r="A186" s="10"/>
      <c r="B186" s="10"/>
      <c r="C186" s="10"/>
      <c r="D186" s="10"/>
      <c r="E186" s="10"/>
      <c r="F186" s="10"/>
    </row>
    <row r="187" spans="1:6">
      <c r="A187" s="10"/>
      <c r="B187" s="10"/>
      <c r="C187" s="10"/>
      <c r="D187" s="10"/>
      <c r="E187" s="10"/>
      <c r="F187" s="10"/>
    </row>
    <row r="188" spans="1:6">
      <c r="A188" s="10"/>
      <c r="B188" s="10"/>
      <c r="C188" s="10"/>
      <c r="D188" s="10"/>
      <c r="E188" s="10"/>
      <c r="F188" s="10"/>
    </row>
    <row r="189" spans="1:6">
      <c r="A189" s="10"/>
      <c r="B189" s="10"/>
      <c r="C189" s="10"/>
      <c r="D189" s="10"/>
      <c r="E189" s="10"/>
      <c r="F189" s="10"/>
    </row>
    <row r="190" spans="1:6">
      <c r="A190" s="10"/>
      <c r="B190" s="10"/>
      <c r="C190" s="10"/>
      <c r="D190" s="10"/>
      <c r="E190" s="10"/>
      <c r="F190" s="10"/>
    </row>
    <row r="191" spans="1:6">
      <c r="A191" s="10"/>
      <c r="B191" s="10"/>
      <c r="C191" s="10"/>
      <c r="D191" s="10"/>
      <c r="E191" s="10"/>
      <c r="F191" s="10"/>
    </row>
    <row r="192" spans="1:6">
      <c r="A192" s="10"/>
      <c r="B192" s="10"/>
      <c r="C192" s="10"/>
      <c r="D192" s="10"/>
      <c r="E192" s="10"/>
      <c r="F192" s="10"/>
    </row>
    <row r="193" spans="1:6">
      <c r="A193" s="10"/>
      <c r="B193" s="10"/>
      <c r="C193" s="10"/>
      <c r="D193" s="10"/>
      <c r="E193" s="10"/>
      <c r="F193" s="10"/>
    </row>
    <row r="194" spans="1:6">
      <c r="A194" s="10"/>
      <c r="B194" s="10"/>
      <c r="C194" s="10"/>
      <c r="D194" s="10"/>
      <c r="E194" s="10"/>
      <c r="F194" s="10"/>
    </row>
    <row r="195" spans="1:6">
      <c r="A195" s="10"/>
      <c r="B195" s="10"/>
      <c r="C195" s="10"/>
      <c r="D195" s="10"/>
      <c r="E195" s="10"/>
      <c r="F195" s="10"/>
    </row>
    <row r="196" spans="1:6">
      <c r="A196" s="10"/>
      <c r="B196" s="10"/>
      <c r="C196" s="10"/>
      <c r="D196" s="10"/>
      <c r="E196" s="10"/>
      <c r="F196" s="10"/>
    </row>
    <row r="197" spans="1:6">
      <c r="A197" s="10"/>
      <c r="B197" s="10"/>
      <c r="C197" s="10"/>
      <c r="D197" s="10"/>
      <c r="E197" s="10"/>
      <c r="F197" s="10"/>
    </row>
    <row r="198" spans="1:6">
      <c r="A198" s="10"/>
      <c r="B198" s="10"/>
      <c r="C198" s="10"/>
      <c r="D198" s="10"/>
      <c r="E198" s="10"/>
      <c r="F198" s="10"/>
    </row>
    <row r="199" spans="1:6">
      <c r="A199" s="10"/>
      <c r="B199" s="10"/>
      <c r="C199" s="10"/>
      <c r="D199" s="10"/>
      <c r="E199" s="10"/>
      <c r="F199" s="10"/>
    </row>
    <row r="200" spans="1:6">
      <c r="A200" s="10"/>
      <c r="B200" s="10"/>
      <c r="C200" s="10"/>
      <c r="D200" s="10"/>
      <c r="E200" s="10"/>
      <c r="F200" s="10"/>
    </row>
    <row r="201" spans="1:6">
      <c r="A201" s="10"/>
      <c r="B201" s="10"/>
      <c r="C201" s="10"/>
      <c r="D201" s="10"/>
      <c r="E201" s="10"/>
      <c r="F201" s="10"/>
    </row>
    <row r="202" spans="1:6">
      <c r="A202" s="10"/>
      <c r="B202" s="10"/>
      <c r="C202" s="10"/>
      <c r="D202" s="10"/>
      <c r="E202" s="10"/>
      <c r="F202" s="10"/>
    </row>
    <row r="203" spans="1:6">
      <c r="A203" s="10"/>
      <c r="B203" s="10"/>
      <c r="C203" s="10"/>
      <c r="D203" s="10"/>
      <c r="E203" s="10"/>
      <c r="F203" s="10"/>
    </row>
    <row r="204" spans="1:6">
      <c r="A204" s="10"/>
      <c r="B204" s="10"/>
      <c r="C204" s="10"/>
      <c r="D204" s="10"/>
      <c r="E204" s="10"/>
      <c r="F204" s="10"/>
    </row>
    <row r="205" spans="1:6">
      <c r="A205" s="10"/>
      <c r="B205" s="10"/>
      <c r="C205" s="10"/>
      <c r="D205" s="10"/>
      <c r="E205" s="10"/>
      <c r="F205" s="10"/>
    </row>
    <row r="206" spans="1:6">
      <c r="A206" s="10"/>
      <c r="B206" s="10"/>
      <c r="C206" s="10"/>
      <c r="D206" s="10"/>
      <c r="E206" s="10"/>
      <c r="F206" s="10"/>
    </row>
    <row r="207" spans="1:6">
      <c r="A207" s="10"/>
      <c r="B207" s="10"/>
      <c r="C207" s="10"/>
      <c r="D207" s="10"/>
      <c r="E207" s="10"/>
      <c r="F207" s="10"/>
    </row>
    <row r="208" spans="1:6">
      <c r="A208" s="10"/>
      <c r="B208" s="10"/>
      <c r="C208" s="10"/>
      <c r="D208" s="10"/>
      <c r="E208" s="10"/>
      <c r="F208" s="10"/>
    </row>
    <row r="209" spans="1:6">
      <c r="A209" s="10"/>
      <c r="B209" s="10"/>
      <c r="C209" s="10"/>
      <c r="D209" s="10"/>
      <c r="E209" s="10"/>
      <c r="F209" s="10"/>
    </row>
    <row r="210" spans="1:6">
      <c r="A210" s="10"/>
      <c r="B210" s="10"/>
      <c r="C210" s="10"/>
      <c r="D210" s="10"/>
      <c r="E210" s="10"/>
      <c r="F210" s="10"/>
    </row>
    <row r="211" spans="1:6">
      <c r="A211" s="10"/>
      <c r="B211" s="10"/>
      <c r="C211" s="10"/>
      <c r="D211" s="10"/>
      <c r="E211" s="10"/>
      <c r="F211" s="10"/>
    </row>
    <row r="212" spans="1:6">
      <c r="A212" s="10"/>
      <c r="B212" s="10"/>
      <c r="C212" s="10"/>
      <c r="D212" s="10"/>
      <c r="E212" s="10"/>
      <c r="F212" s="10"/>
    </row>
    <row r="213" spans="1:6">
      <c r="A213" s="10"/>
      <c r="B213" s="10"/>
      <c r="C213" s="10"/>
      <c r="D213" s="10"/>
      <c r="E213" s="10"/>
      <c r="F213" s="10"/>
    </row>
    <row r="214" spans="1:6">
      <c r="A214" s="10"/>
      <c r="B214" s="10"/>
      <c r="C214" s="10"/>
      <c r="D214" s="10"/>
      <c r="E214" s="10"/>
      <c r="F214" s="10"/>
    </row>
    <row r="215" spans="1:6">
      <c r="A215" s="10"/>
      <c r="B215" s="10"/>
      <c r="C215" s="10"/>
      <c r="D215" s="10"/>
      <c r="E215" s="10"/>
      <c r="F215" s="10"/>
    </row>
    <row r="216" spans="1:6">
      <c r="A216" s="10"/>
      <c r="B216" s="10"/>
      <c r="C216" s="10"/>
      <c r="D216" s="10"/>
      <c r="E216" s="10"/>
      <c r="F216" s="10"/>
    </row>
    <row r="217" spans="1:6">
      <c r="A217" s="10"/>
      <c r="B217" s="10"/>
      <c r="C217" s="10"/>
      <c r="D217" s="10"/>
      <c r="E217" s="10"/>
      <c r="F217" s="10"/>
    </row>
    <row r="218" spans="1:6">
      <c r="A218" s="10"/>
      <c r="B218" s="10"/>
      <c r="C218" s="10"/>
      <c r="D218" s="10"/>
      <c r="E218" s="10"/>
      <c r="F218" s="10"/>
    </row>
    <row r="219" spans="1:6">
      <c r="A219" s="10"/>
      <c r="B219" s="10"/>
      <c r="C219" s="10"/>
      <c r="D219" s="10"/>
      <c r="E219" s="10"/>
      <c r="F219" s="10"/>
    </row>
    <row r="220" spans="1:6">
      <c r="A220" s="10"/>
      <c r="B220" s="10"/>
      <c r="C220" s="10"/>
      <c r="D220" s="10"/>
      <c r="E220" s="10"/>
      <c r="F220" s="10"/>
    </row>
    <row r="221" spans="1:6">
      <c r="A221" s="10"/>
      <c r="B221" s="10"/>
      <c r="C221" s="10"/>
      <c r="D221" s="10"/>
      <c r="E221" s="10"/>
      <c r="F221" s="10"/>
    </row>
    <row r="222" spans="1:6">
      <c r="A222" s="10"/>
      <c r="B222" s="10"/>
      <c r="C222" s="10"/>
      <c r="D222" s="10"/>
      <c r="E222" s="10"/>
      <c r="F222" s="10"/>
    </row>
    <row r="223" spans="1:6">
      <c r="A223" s="10"/>
      <c r="B223" s="10"/>
      <c r="C223" s="10"/>
      <c r="D223" s="10"/>
      <c r="E223" s="10"/>
      <c r="F223" s="10"/>
    </row>
    <row r="224" spans="1:6">
      <c r="A224" s="10"/>
      <c r="B224" s="10"/>
      <c r="C224" s="10"/>
      <c r="D224" s="10"/>
      <c r="E224" s="10"/>
      <c r="F224" s="10"/>
    </row>
    <row r="225" spans="1:6">
      <c r="A225" s="10"/>
      <c r="B225" s="10"/>
      <c r="C225" s="10"/>
      <c r="D225" s="10"/>
      <c r="E225" s="10"/>
      <c r="F225" s="10"/>
    </row>
    <row r="226" spans="1:6">
      <c r="A226" s="10"/>
      <c r="B226" s="10"/>
      <c r="C226" s="10"/>
      <c r="D226" s="10"/>
      <c r="E226" s="10"/>
      <c r="F226" s="10"/>
    </row>
    <row r="227" spans="1:6">
      <c r="A227" s="10"/>
      <c r="B227" s="10"/>
      <c r="C227" s="10"/>
      <c r="D227" s="10"/>
      <c r="E227" s="10"/>
      <c r="F227" s="10"/>
    </row>
    <row r="228" spans="1:6">
      <c r="A228" s="10"/>
      <c r="B228" s="10"/>
      <c r="C228" s="10"/>
      <c r="D228" s="10"/>
      <c r="E228" s="10"/>
      <c r="F228" s="10"/>
    </row>
    <row r="229" spans="1:6">
      <c r="A229" s="10"/>
      <c r="B229" s="10"/>
      <c r="C229" s="10"/>
      <c r="D229" s="10"/>
      <c r="E229" s="10"/>
      <c r="F229" s="10"/>
    </row>
    <row r="230" spans="1:6">
      <c r="A230" s="10"/>
      <c r="B230" s="10"/>
      <c r="C230" s="10"/>
      <c r="D230" s="10"/>
      <c r="E230" s="10"/>
      <c r="F230" s="10"/>
    </row>
    <row r="231" spans="1:6">
      <c r="A231" s="10"/>
      <c r="B231" s="10"/>
      <c r="C231" s="10"/>
      <c r="D231" s="10"/>
      <c r="E231" s="10"/>
      <c r="F231" s="10"/>
    </row>
    <row r="232" spans="1:6">
      <c r="A232" s="10"/>
      <c r="B232" s="10"/>
      <c r="C232" s="10"/>
      <c r="D232" s="10"/>
      <c r="E232" s="10"/>
      <c r="F232" s="10"/>
    </row>
    <row r="233" spans="1:6">
      <c r="A233" s="10"/>
      <c r="B233" s="10"/>
      <c r="C233" s="10"/>
      <c r="D233" s="10"/>
      <c r="E233" s="10"/>
      <c r="F233" s="10"/>
    </row>
    <row r="234" spans="1:6">
      <c r="A234" s="10"/>
      <c r="B234" s="10"/>
      <c r="C234" s="10"/>
      <c r="D234" s="10"/>
      <c r="E234" s="10"/>
      <c r="F234" s="10"/>
    </row>
    <row r="235" spans="1:6">
      <c r="A235" s="10"/>
      <c r="B235" s="10"/>
      <c r="C235" s="10"/>
      <c r="D235" s="10"/>
      <c r="E235" s="10"/>
      <c r="F235" s="10"/>
    </row>
    <row r="236" spans="1:6">
      <c r="A236" s="10"/>
      <c r="B236" s="10"/>
      <c r="C236" s="10"/>
      <c r="D236" s="10"/>
      <c r="E236" s="10"/>
      <c r="F236" s="10"/>
    </row>
    <row r="237" spans="1:6">
      <c r="A237" s="10"/>
      <c r="B237" s="10"/>
      <c r="C237" s="10"/>
      <c r="D237" s="10"/>
      <c r="E237" s="10"/>
      <c r="F237" s="10"/>
    </row>
    <row r="238" spans="1:6">
      <c r="A238" s="10"/>
      <c r="B238" s="10"/>
      <c r="C238" s="10"/>
      <c r="D238" s="10"/>
      <c r="E238" s="10"/>
      <c r="F238" s="10"/>
    </row>
    <row r="239" spans="1:6">
      <c r="A239" s="10"/>
      <c r="B239" s="10"/>
      <c r="C239" s="10"/>
      <c r="D239" s="10"/>
      <c r="E239" s="10"/>
      <c r="F239" s="10"/>
    </row>
    <row r="240" spans="1:6">
      <c r="A240" s="10"/>
      <c r="B240" s="10"/>
      <c r="C240" s="10"/>
      <c r="D240" s="10"/>
      <c r="E240" s="10"/>
      <c r="F240" s="10"/>
    </row>
    <row r="241" spans="1:6">
      <c r="A241" s="10"/>
      <c r="B241" s="10"/>
      <c r="C241" s="10"/>
      <c r="D241" s="10"/>
      <c r="E241" s="10"/>
      <c r="F241" s="10"/>
    </row>
    <row r="242" spans="1:6">
      <c r="A242" s="10"/>
      <c r="B242" s="10"/>
      <c r="C242" s="10"/>
      <c r="D242" s="10"/>
      <c r="E242" s="10"/>
      <c r="F242" s="10"/>
    </row>
    <row r="243" spans="1:6">
      <c r="A243" s="10"/>
      <c r="B243" s="10"/>
      <c r="C243" s="10"/>
      <c r="D243" s="10"/>
      <c r="E243" s="10"/>
      <c r="F243" s="10"/>
    </row>
    <row r="244" spans="1:6">
      <c r="A244" s="10"/>
      <c r="B244" s="10"/>
      <c r="C244" s="10"/>
      <c r="D244" s="10"/>
      <c r="E244" s="10"/>
      <c r="F244" s="10"/>
    </row>
    <row r="245" spans="1:6">
      <c r="A245" s="10"/>
      <c r="B245" s="10"/>
      <c r="C245" s="10"/>
      <c r="D245" s="10"/>
      <c r="E245" s="10"/>
      <c r="F245" s="10"/>
    </row>
    <row r="246" spans="1:6">
      <c r="A246" s="10"/>
      <c r="B246" s="10"/>
      <c r="C246" s="10"/>
      <c r="D246" s="10"/>
      <c r="E246" s="10"/>
      <c r="F246" s="10"/>
    </row>
    <row r="247" spans="1:6">
      <c r="A247" s="10"/>
      <c r="B247" s="10"/>
      <c r="C247" s="10"/>
      <c r="D247" s="10"/>
      <c r="E247" s="10"/>
      <c r="F247" s="10"/>
    </row>
    <row r="248" spans="1:6">
      <c r="A248" s="10"/>
      <c r="B248" s="10"/>
      <c r="C248" s="10"/>
      <c r="D248" s="10"/>
      <c r="E248" s="10"/>
      <c r="F248" s="10"/>
    </row>
    <row r="249" spans="1:6">
      <c r="A249" s="10"/>
      <c r="B249" s="10"/>
      <c r="C249" s="10"/>
      <c r="D249" s="10"/>
      <c r="E249" s="10"/>
      <c r="F249" s="10"/>
    </row>
    <row r="250" spans="1:6">
      <c r="A250" s="10"/>
      <c r="B250" s="10"/>
      <c r="C250" s="10"/>
      <c r="D250" s="10"/>
      <c r="E250" s="10"/>
      <c r="F250" s="10"/>
    </row>
    <row r="251" spans="1:6">
      <c r="A251" s="10"/>
      <c r="B251" s="10"/>
      <c r="C251" s="10"/>
      <c r="D251" s="10"/>
      <c r="E251" s="10"/>
      <c r="F251" s="10"/>
    </row>
    <row r="252" spans="1:6">
      <c r="A252" s="10"/>
      <c r="B252" s="10"/>
      <c r="C252" s="10"/>
      <c r="D252" s="10"/>
      <c r="E252" s="10"/>
      <c r="F252" s="10"/>
    </row>
    <row r="253" spans="1:6">
      <c r="A253" s="10"/>
      <c r="B253" s="10"/>
      <c r="C253" s="10"/>
      <c r="D253" s="10"/>
      <c r="E253" s="10"/>
      <c r="F253" s="10"/>
    </row>
    <row r="254" spans="1:6">
      <c r="A254" s="10"/>
      <c r="B254" s="10"/>
      <c r="C254" s="10"/>
      <c r="D254" s="10"/>
      <c r="E254" s="10"/>
      <c r="F254" s="10"/>
    </row>
    <row r="255" spans="1:6">
      <c r="A255" s="10"/>
      <c r="B255" s="10"/>
      <c r="C255" s="10"/>
      <c r="D255" s="10"/>
      <c r="E255" s="10"/>
      <c r="F255" s="10"/>
    </row>
    <row r="256" spans="1:6">
      <c r="A256" s="10"/>
      <c r="B256" s="10"/>
      <c r="C256" s="10"/>
      <c r="D256" s="10"/>
      <c r="E256" s="10"/>
      <c r="F256" s="10"/>
    </row>
    <row r="257" spans="1:6">
      <c r="A257" s="10"/>
      <c r="B257" s="10"/>
      <c r="C257" s="10"/>
      <c r="D257" s="10"/>
      <c r="E257" s="10"/>
      <c r="F257" s="10"/>
    </row>
  </sheetData>
  <mergeCells count="110">
    <mergeCell ref="C100:C105"/>
    <mergeCell ref="C96:C99"/>
    <mergeCell ref="C93:C95"/>
    <mergeCell ref="C90:C92"/>
    <mergeCell ref="C87:C89"/>
    <mergeCell ref="H2:I3"/>
    <mergeCell ref="C137:C138"/>
    <mergeCell ref="C148:C149"/>
    <mergeCell ref="C133:C136"/>
    <mergeCell ref="C128:C132"/>
    <mergeCell ref="C123:C127"/>
    <mergeCell ref="C118:C122"/>
    <mergeCell ref="C114:C117"/>
    <mergeCell ref="C110:C113"/>
    <mergeCell ref="C106:C109"/>
    <mergeCell ref="C64:C67"/>
    <mergeCell ref="C60:C63"/>
    <mergeCell ref="C56:C59"/>
    <mergeCell ref="C52:C55"/>
    <mergeCell ref="C48:C51"/>
    <mergeCell ref="C84:C86"/>
    <mergeCell ref="C81:C83"/>
    <mergeCell ref="C77:C80"/>
    <mergeCell ref="C73:C76"/>
    <mergeCell ref="C68:C72"/>
    <mergeCell ref="C17:C20"/>
    <mergeCell ref="C13:C16"/>
    <mergeCell ref="C9:C12"/>
    <mergeCell ref="C5:C8"/>
    <mergeCell ref="B5:B8"/>
    <mergeCell ref="B9:B12"/>
    <mergeCell ref="B13:B16"/>
    <mergeCell ref="B17:B20"/>
    <mergeCell ref="C43:C47"/>
    <mergeCell ref="C38:C42"/>
    <mergeCell ref="C31:C37"/>
    <mergeCell ref="C25:C30"/>
    <mergeCell ref="C21:C24"/>
    <mergeCell ref="B77:B80"/>
    <mergeCell ref="B81:B83"/>
    <mergeCell ref="B84:B86"/>
    <mergeCell ref="B48:B51"/>
    <mergeCell ref="B52:B55"/>
    <mergeCell ref="B56:B59"/>
    <mergeCell ref="B60:B63"/>
    <mergeCell ref="B64:B67"/>
    <mergeCell ref="B21:B24"/>
    <mergeCell ref="B25:B30"/>
    <mergeCell ref="B31:B37"/>
    <mergeCell ref="B38:B42"/>
    <mergeCell ref="B43:B47"/>
    <mergeCell ref="A25:A76"/>
    <mergeCell ref="A5:A24"/>
    <mergeCell ref="B150:B152"/>
    <mergeCell ref="C150:C152"/>
    <mergeCell ref="A137:A152"/>
    <mergeCell ref="A118:A136"/>
    <mergeCell ref="A96:A117"/>
    <mergeCell ref="A77:A95"/>
    <mergeCell ref="B128:B132"/>
    <mergeCell ref="B133:B136"/>
    <mergeCell ref="B137:B138"/>
    <mergeCell ref="B148:B149"/>
    <mergeCell ref="B106:B109"/>
    <mergeCell ref="B110:B113"/>
    <mergeCell ref="B114:B117"/>
    <mergeCell ref="B118:B122"/>
    <mergeCell ref="B123:B127"/>
    <mergeCell ref="B87:B89"/>
    <mergeCell ref="B90:B92"/>
    <mergeCell ref="B93:B95"/>
    <mergeCell ref="B96:B99"/>
    <mergeCell ref="B100:B105"/>
    <mergeCell ref="B68:B72"/>
    <mergeCell ref="B73:B76"/>
    <mergeCell ref="F68:F72"/>
    <mergeCell ref="F25:F30"/>
    <mergeCell ref="F31:F37"/>
    <mergeCell ref="F38:F42"/>
    <mergeCell ref="F43:F47"/>
    <mergeCell ref="F48:F51"/>
    <mergeCell ref="F5:F8"/>
    <mergeCell ref="F9:F12"/>
    <mergeCell ref="F13:F16"/>
    <mergeCell ref="F17:F20"/>
    <mergeCell ref="F21:F24"/>
    <mergeCell ref="A2:F3"/>
    <mergeCell ref="F128:F132"/>
    <mergeCell ref="F133:F136"/>
    <mergeCell ref="F137:F138"/>
    <mergeCell ref="F148:F149"/>
    <mergeCell ref="F150:F152"/>
    <mergeCell ref="F106:F109"/>
    <mergeCell ref="F110:F113"/>
    <mergeCell ref="F114:F117"/>
    <mergeCell ref="F118:F122"/>
    <mergeCell ref="F123:F127"/>
    <mergeCell ref="F87:F89"/>
    <mergeCell ref="F90:F92"/>
    <mergeCell ref="F93:F95"/>
    <mergeCell ref="F96:F99"/>
    <mergeCell ref="F100:F105"/>
    <mergeCell ref="F73:F76"/>
    <mergeCell ref="F77:F80"/>
    <mergeCell ref="F81:F83"/>
    <mergeCell ref="F84:F86"/>
    <mergeCell ref="F52:F55"/>
    <mergeCell ref="F56:F59"/>
    <mergeCell ref="F60:F63"/>
    <mergeCell ref="F64:F67"/>
  </mergeCells>
  <hyperlinks>
    <hyperlink ref="H2:I3" location="MENU!A1" display="MENU" xr:uid="{00000000-0004-0000-0700-000000000000}"/>
  </hyperlink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B2:I118"/>
  <sheetViews>
    <sheetView workbookViewId="0">
      <selection activeCell="F7" sqref="F7"/>
    </sheetView>
  </sheetViews>
  <sheetFormatPr defaultRowHeight="15"/>
  <cols>
    <col min="2" max="2" width="10" customWidth="1"/>
    <col min="3" max="3" width="8.625" bestFit="1" customWidth="1"/>
    <col min="4" max="4" width="24.125" bestFit="1" customWidth="1"/>
    <col min="5" max="5" width="9.125" bestFit="1" customWidth="1"/>
    <col min="6" max="6" width="13.25" bestFit="1" customWidth="1"/>
  </cols>
  <sheetData>
    <row r="2" spans="2:9" ht="15" customHeight="1">
      <c r="C2" s="133" t="s">
        <v>182</v>
      </c>
      <c r="D2" s="133"/>
      <c r="E2" s="133"/>
      <c r="F2" s="133"/>
      <c r="H2" s="99" t="s">
        <v>180</v>
      </c>
      <c r="I2" s="99"/>
    </row>
    <row r="3" spans="2:9" ht="15" customHeight="1">
      <c r="C3" s="133"/>
      <c r="D3" s="133"/>
      <c r="E3" s="133"/>
      <c r="F3" s="133"/>
      <c r="H3" s="99"/>
      <c r="I3" s="99"/>
    </row>
    <row r="4" spans="2:9">
      <c r="B4" s="10"/>
      <c r="C4" s="10"/>
      <c r="D4" s="10"/>
      <c r="E4" s="10"/>
    </row>
    <row r="5" spans="2:9" s="21" customFormat="1">
      <c r="B5" s="31"/>
      <c r="C5" s="77" t="s">
        <v>1</v>
      </c>
      <c r="D5" s="78" t="s">
        <v>189</v>
      </c>
      <c r="E5" s="78" t="s">
        <v>256</v>
      </c>
      <c r="F5" s="76" t="s">
        <v>262</v>
      </c>
    </row>
    <row r="6" spans="2:9">
      <c r="B6" s="10"/>
      <c r="C6" s="80">
        <v>1</v>
      </c>
      <c r="D6" s="47" t="s">
        <v>193</v>
      </c>
      <c r="E6" s="45" t="s">
        <v>257</v>
      </c>
      <c r="F6" s="82">
        <v>47000</v>
      </c>
    </row>
    <row r="7" spans="2:9">
      <c r="B7" s="10"/>
      <c r="C7" s="81"/>
      <c r="D7" s="48"/>
      <c r="E7" s="45" t="s">
        <v>35</v>
      </c>
      <c r="F7" s="82">
        <v>53000</v>
      </c>
    </row>
    <row r="8" spans="2:9">
      <c r="B8" s="10"/>
      <c r="C8" s="80">
        <v>2</v>
      </c>
      <c r="D8" s="47" t="s">
        <v>199</v>
      </c>
      <c r="E8" s="45" t="s">
        <v>257</v>
      </c>
      <c r="F8" s="82">
        <v>47000</v>
      </c>
    </row>
    <row r="9" spans="2:9">
      <c r="B9" s="10"/>
      <c r="C9" s="81"/>
      <c r="D9" s="48"/>
      <c r="E9" s="45" t="s">
        <v>35</v>
      </c>
      <c r="F9" s="82">
        <v>53000</v>
      </c>
    </row>
    <row r="10" spans="2:9">
      <c r="B10" s="10"/>
      <c r="C10" s="80">
        <v>3</v>
      </c>
      <c r="D10" s="47" t="s">
        <v>201</v>
      </c>
      <c r="E10" s="45" t="s">
        <v>257</v>
      </c>
      <c r="F10" s="82">
        <v>47000</v>
      </c>
    </row>
    <row r="11" spans="2:9">
      <c r="B11" s="10"/>
      <c r="C11" s="81"/>
      <c r="D11" s="48"/>
      <c r="E11" s="45" t="s">
        <v>35</v>
      </c>
      <c r="F11" s="82">
        <v>53000</v>
      </c>
    </row>
    <row r="12" spans="2:9">
      <c r="B12" s="10"/>
      <c r="C12" s="80">
        <v>4</v>
      </c>
      <c r="D12" s="47" t="s">
        <v>202</v>
      </c>
      <c r="E12" s="45" t="s">
        <v>257</v>
      </c>
      <c r="F12" s="82">
        <v>47000</v>
      </c>
    </row>
    <row r="13" spans="2:9">
      <c r="B13" s="10"/>
      <c r="C13" s="81"/>
      <c r="D13" s="48"/>
      <c r="E13" s="45" t="s">
        <v>35</v>
      </c>
      <c r="F13" s="82">
        <v>53000</v>
      </c>
    </row>
    <row r="14" spans="2:9">
      <c r="B14" s="10"/>
      <c r="C14" s="80">
        <v>5</v>
      </c>
      <c r="D14" s="47" t="s">
        <v>259</v>
      </c>
      <c r="E14" s="45" t="s">
        <v>257</v>
      </c>
      <c r="F14" s="82">
        <v>47000</v>
      </c>
    </row>
    <row r="15" spans="2:9">
      <c r="B15" s="10"/>
      <c r="C15" s="81"/>
      <c r="D15" s="48"/>
      <c r="E15" s="45" t="s">
        <v>35</v>
      </c>
      <c r="F15" s="82">
        <v>53000</v>
      </c>
    </row>
    <row r="16" spans="2:9">
      <c r="B16" s="10"/>
      <c r="C16" s="80">
        <v>6</v>
      </c>
      <c r="D16" s="47" t="s">
        <v>204</v>
      </c>
      <c r="E16" s="45" t="s">
        <v>257</v>
      </c>
      <c r="F16" s="82">
        <v>47000</v>
      </c>
    </row>
    <row r="17" spans="2:6">
      <c r="B17" s="10"/>
      <c r="C17" s="81"/>
      <c r="D17" s="48"/>
      <c r="E17" s="45" t="s">
        <v>35</v>
      </c>
      <c r="F17" s="82">
        <v>53000</v>
      </c>
    </row>
    <row r="18" spans="2:6">
      <c r="B18" s="10"/>
      <c r="C18" s="80">
        <v>7</v>
      </c>
      <c r="D18" s="47" t="s">
        <v>211</v>
      </c>
      <c r="E18" s="45" t="s">
        <v>257</v>
      </c>
      <c r="F18" s="82">
        <v>47000</v>
      </c>
    </row>
    <row r="19" spans="2:6">
      <c r="B19" s="10"/>
      <c r="C19" s="81"/>
      <c r="D19" s="48"/>
      <c r="E19" s="45" t="s">
        <v>35</v>
      </c>
      <c r="F19" s="82">
        <v>53000</v>
      </c>
    </row>
    <row r="20" spans="2:6">
      <c r="C20" s="80">
        <v>8</v>
      </c>
      <c r="D20" s="47" t="s">
        <v>218</v>
      </c>
      <c r="E20" s="45" t="s">
        <v>257</v>
      </c>
      <c r="F20" s="82">
        <v>47000</v>
      </c>
    </row>
    <row r="21" spans="2:6">
      <c r="C21" s="81"/>
      <c r="D21" s="48"/>
      <c r="E21" s="45" t="s">
        <v>35</v>
      </c>
      <c r="F21" s="82">
        <v>53000</v>
      </c>
    </row>
    <row r="22" spans="2:6">
      <c r="C22" s="80">
        <v>9</v>
      </c>
      <c r="D22" s="47" t="s">
        <v>219</v>
      </c>
      <c r="E22" s="45" t="s">
        <v>257</v>
      </c>
      <c r="F22" s="82">
        <v>47000</v>
      </c>
    </row>
    <row r="23" spans="2:6">
      <c r="C23" s="81"/>
      <c r="D23" s="48"/>
      <c r="E23" s="45" t="s">
        <v>35</v>
      </c>
      <c r="F23" s="82">
        <v>53000</v>
      </c>
    </row>
    <row r="24" spans="2:6">
      <c r="C24" s="80">
        <v>10</v>
      </c>
      <c r="D24" s="47" t="s">
        <v>221</v>
      </c>
      <c r="E24" s="45" t="s">
        <v>257</v>
      </c>
      <c r="F24" s="82">
        <v>47000</v>
      </c>
    </row>
    <row r="25" spans="2:6">
      <c r="C25" s="81"/>
      <c r="D25" s="48"/>
      <c r="E25" s="45" t="s">
        <v>35</v>
      </c>
      <c r="F25" s="82">
        <v>53000</v>
      </c>
    </row>
    <row r="26" spans="2:6">
      <c r="C26" s="80">
        <v>11</v>
      </c>
      <c r="D26" s="47" t="s">
        <v>225</v>
      </c>
      <c r="E26" s="45" t="s">
        <v>257</v>
      </c>
      <c r="F26" s="82">
        <v>47000</v>
      </c>
    </row>
    <row r="27" spans="2:6">
      <c r="C27" s="81"/>
      <c r="D27" s="48"/>
      <c r="E27" s="45" t="s">
        <v>35</v>
      </c>
      <c r="F27" s="82">
        <v>53000</v>
      </c>
    </row>
    <row r="28" spans="2:6">
      <c r="C28" s="80">
        <v>12</v>
      </c>
      <c r="D28" s="47" t="s">
        <v>258</v>
      </c>
      <c r="E28" s="45" t="s">
        <v>257</v>
      </c>
      <c r="F28" s="82">
        <v>47000</v>
      </c>
    </row>
    <row r="29" spans="2:6">
      <c r="C29" s="81"/>
      <c r="D29" s="48"/>
      <c r="E29" s="45" t="s">
        <v>35</v>
      </c>
      <c r="F29" s="82">
        <v>53000</v>
      </c>
    </row>
    <row r="30" spans="2:6">
      <c r="C30" s="80">
        <v>13</v>
      </c>
      <c r="D30" s="47" t="s">
        <v>226</v>
      </c>
      <c r="E30" s="45" t="s">
        <v>257</v>
      </c>
      <c r="F30" s="82">
        <v>47000</v>
      </c>
    </row>
    <row r="31" spans="2:6">
      <c r="C31" s="81"/>
      <c r="D31" s="48"/>
      <c r="E31" s="45" t="s">
        <v>35</v>
      </c>
      <c r="F31" s="82">
        <v>53000</v>
      </c>
    </row>
    <row r="32" spans="2:6">
      <c r="C32" s="80">
        <v>14</v>
      </c>
      <c r="D32" s="47" t="s">
        <v>227</v>
      </c>
      <c r="E32" s="45" t="s">
        <v>257</v>
      </c>
      <c r="F32" s="82">
        <v>47000</v>
      </c>
    </row>
    <row r="33" spans="3:6">
      <c r="C33" s="81"/>
      <c r="D33" s="48"/>
      <c r="E33" s="45" t="s">
        <v>35</v>
      </c>
      <c r="F33" s="82">
        <v>53000</v>
      </c>
    </row>
    <row r="34" spans="3:6">
      <c r="C34" s="80">
        <v>15</v>
      </c>
      <c r="D34" s="47" t="s">
        <v>259</v>
      </c>
      <c r="E34" s="45" t="s">
        <v>257</v>
      </c>
      <c r="F34" s="82">
        <v>47000</v>
      </c>
    </row>
    <row r="35" spans="3:6">
      <c r="C35" s="81"/>
      <c r="D35" s="48"/>
      <c r="E35" s="45" t="s">
        <v>35</v>
      </c>
      <c r="F35" s="82">
        <v>53000</v>
      </c>
    </row>
    <row r="36" spans="3:6">
      <c r="C36" s="80">
        <v>16</v>
      </c>
      <c r="D36" s="47" t="s">
        <v>260</v>
      </c>
      <c r="E36" s="45" t="s">
        <v>257</v>
      </c>
      <c r="F36" s="82">
        <v>47000</v>
      </c>
    </row>
    <row r="37" spans="3:6">
      <c r="C37" s="81"/>
      <c r="D37" s="48"/>
      <c r="E37" s="45" t="s">
        <v>35</v>
      </c>
      <c r="F37" s="82">
        <v>53000</v>
      </c>
    </row>
    <row r="38" spans="3:6">
      <c r="C38" s="80">
        <v>17</v>
      </c>
      <c r="D38" s="47" t="s">
        <v>261</v>
      </c>
      <c r="E38" s="45" t="s">
        <v>257</v>
      </c>
      <c r="F38" s="82">
        <v>47000</v>
      </c>
    </row>
    <row r="39" spans="3:6">
      <c r="C39" s="81"/>
      <c r="D39" s="48"/>
      <c r="E39" s="45" t="s">
        <v>35</v>
      </c>
      <c r="F39" s="82">
        <v>53000</v>
      </c>
    </row>
    <row r="40" spans="3:6">
      <c r="C40" s="80">
        <v>18</v>
      </c>
      <c r="D40" s="47" t="s">
        <v>263</v>
      </c>
      <c r="E40" s="45" t="s">
        <v>257</v>
      </c>
      <c r="F40" s="82">
        <v>47000</v>
      </c>
    </row>
    <row r="41" spans="3:6">
      <c r="C41" s="81"/>
      <c r="D41" s="48"/>
      <c r="E41" s="45" t="s">
        <v>35</v>
      </c>
      <c r="F41" s="82">
        <v>53000</v>
      </c>
    </row>
    <row r="42" spans="3:6">
      <c r="C42" s="80">
        <v>19</v>
      </c>
      <c r="D42" s="47" t="s">
        <v>91</v>
      </c>
      <c r="E42" s="45" t="s">
        <v>257</v>
      </c>
      <c r="F42" s="82">
        <v>47000</v>
      </c>
    </row>
    <row r="43" spans="3:6">
      <c r="C43" s="81"/>
      <c r="D43" s="48"/>
      <c r="E43" s="45" t="s">
        <v>35</v>
      </c>
      <c r="F43" s="82">
        <v>53000</v>
      </c>
    </row>
    <row r="44" spans="3:6">
      <c r="C44" s="80">
        <v>20</v>
      </c>
      <c r="D44" s="47" t="s">
        <v>264</v>
      </c>
      <c r="E44" s="45" t="s">
        <v>257</v>
      </c>
      <c r="F44" s="82">
        <v>47000</v>
      </c>
    </row>
    <row r="45" spans="3:6">
      <c r="C45" s="81"/>
      <c r="D45" s="48"/>
      <c r="E45" s="45" t="s">
        <v>35</v>
      </c>
      <c r="F45" s="82">
        <v>53000</v>
      </c>
    </row>
    <row r="46" spans="3:6">
      <c r="C46" s="80">
        <v>21</v>
      </c>
      <c r="D46" s="47" t="s">
        <v>202</v>
      </c>
      <c r="E46" s="45" t="s">
        <v>257</v>
      </c>
      <c r="F46" s="82">
        <v>47000</v>
      </c>
    </row>
    <row r="47" spans="3:6">
      <c r="C47" s="81"/>
      <c r="D47" s="48"/>
      <c r="E47" s="45" t="s">
        <v>35</v>
      </c>
      <c r="F47" s="82">
        <v>53000</v>
      </c>
    </row>
    <row r="48" spans="3:6">
      <c r="C48" s="80">
        <v>22</v>
      </c>
      <c r="D48" s="47" t="s">
        <v>265</v>
      </c>
      <c r="E48" s="45" t="s">
        <v>257</v>
      </c>
      <c r="F48" s="82">
        <v>47000</v>
      </c>
    </row>
    <row r="49" spans="3:6">
      <c r="C49" s="81"/>
      <c r="D49" s="48"/>
      <c r="E49" s="45" t="s">
        <v>35</v>
      </c>
      <c r="F49" s="82">
        <v>53000</v>
      </c>
    </row>
    <row r="50" spans="3:6">
      <c r="C50" s="80">
        <v>23</v>
      </c>
      <c r="D50" s="47" t="s">
        <v>102</v>
      </c>
      <c r="E50" s="45" t="s">
        <v>257</v>
      </c>
      <c r="F50" s="82">
        <v>47000</v>
      </c>
    </row>
    <row r="51" spans="3:6">
      <c r="C51" s="81"/>
      <c r="D51" s="48"/>
      <c r="E51" s="45" t="s">
        <v>35</v>
      </c>
      <c r="F51" s="82">
        <v>53000</v>
      </c>
    </row>
    <row r="52" spans="3:6">
      <c r="C52" s="80">
        <v>24</v>
      </c>
      <c r="D52" s="47" t="s">
        <v>266</v>
      </c>
      <c r="E52" s="45" t="s">
        <v>257</v>
      </c>
      <c r="F52" s="82">
        <v>47000</v>
      </c>
    </row>
    <row r="53" spans="3:6">
      <c r="C53" s="81"/>
      <c r="D53" s="48"/>
      <c r="E53" s="45" t="s">
        <v>35</v>
      </c>
      <c r="F53" s="82">
        <v>53000</v>
      </c>
    </row>
    <row r="54" spans="3:6">
      <c r="C54" s="80">
        <v>25</v>
      </c>
      <c r="D54" s="47" t="s">
        <v>238</v>
      </c>
      <c r="E54" s="45" t="s">
        <v>257</v>
      </c>
      <c r="F54" s="82">
        <v>47000</v>
      </c>
    </row>
    <row r="55" spans="3:6">
      <c r="C55" s="81"/>
      <c r="D55" s="48"/>
      <c r="E55" s="45" t="s">
        <v>35</v>
      </c>
      <c r="F55" s="82">
        <v>53000</v>
      </c>
    </row>
    <row r="56" spans="3:6">
      <c r="C56" s="80">
        <v>26</v>
      </c>
      <c r="D56" s="47" t="s">
        <v>267</v>
      </c>
      <c r="E56" s="45" t="s">
        <v>257</v>
      </c>
      <c r="F56" s="82">
        <v>47000</v>
      </c>
    </row>
    <row r="57" spans="3:6">
      <c r="C57" s="81"/>
      <c r="D57" s="48"/>
      <c r="E57" s="45" t="s">
        <v>35</v>
      </c>
      <c r="F57" s="82">
        <v>53000</v>
      </c>
    </row>
    <row r="58" spans="3:6">
      <c r="C58" s="80">
        <v>27</v>
      </c>
      <c r="D58" s="47" t="s">
        <v>268</v>
      </c>
      <c r="E58" s="45" t="s">
        <v>257</v>
      </c>
      <c r="F58" s="82">
        <v>47000</v>
      </c>
    </row>
    <row r="59" spans="3:6">
      <c r="C59" s="81"/>
      <c r="D59" s="48"/>
      <c r="E59" s="45" t="s">
        <v>35</v>
      </c>
      <c r="F59" s="82">
        <v>53000</v>
      </c>
    </row>
    <row r="60" spans="3:6">
      <c r="C60" s="80">
        <v>28</v>
      </c>
      <c r="D60" s="47" t="s">
        <v>269</v>
      </c>
      <c r="E60" s="45" t="s">
        <v>257</v>
      </c>
      <c r="F60" s="82">
        <v>47000</v>
      </c>
    </row>
    <row r="61" spans="3:6">
      <c r="C61" s="81"/>
      <c r="D61" s="48"/>
      <c r="E61" s="45" t="s">
        <v>35</v>
      </c>
      <c r="F61" s="82">
        <v>53000</v>
      </c>
    </row>
    <row r="62" spans="3:6">
      <c r="C62" s="80">
        <v>29</v>
      </c>
      <c r="D62" s="47" t="s">
        <v>270</v>
      </c>
      <c r="E62" s="45" t="s">
        <v>257</v>
      </c>
      <c r="F62" s="82">
        <v>47000</v>
      </c>
    </row>
    <row r="63" spans="3:6">
      <c r="C63" s="81"/>
      <c r="D63" s="48"/>
      <c r="E63" s="45" t="s">
        <v>35</v>
      </c>
      <c r="F63" s="82">
        <v>53000</v>
      </c>
    </row>
    <row r="64" spans="3:6">
      <c r="C64" s="80">
        <v>30</v>
      </c>
      <c r="D64" s="47" t="s">
        <v>271</v>
      </c>
      <c r="E64" s="45" t="s">
        <v>257</v>
      </c>
      <c r="F64" s="82">
        <v>47000</v>
      </c>
    </row>
    <row r="65" spans="3:6">
      <c r="C65" s="81"/>
      <c r="D65" s="48"/>
      <c r="E65" s="45" t="s">
        <v>35</v>
      </c>
      <c r="F65" s="82">
        <v>53000</v>
      </c>
    </row>
    <row r="66" spans="3:6">
      <c r="C66" s="46">
        <v>31</v>
      </c>
      <c r="D66" s="49" t="s">
        <v>245</v>
      </c>
      <c r="E66" s="45" t="s">
        <v>257</v>
      </c>
      <c r="F66" s="82">
        <v>47000</v>
      </c>
    </row>
    <row r="67" spans="3:6">
      <c r="C67" s="46">
        <v>32</v>
      </c>
      <c r="D67" s="49" t="s">
        <v>272</v>
      </c>
      <c r="E67" s="45" t="s">
        <v>257</v>
      </c>
      <c r="F67" s="82">
        <v>53000</v>
      </c>
    </row>
    <row r="68" spans="3:6">
      <c r="C68" s="46">
        <v>33</v>
      </c>
      <c r="D68" s="49" t="s">
        <v>249</v>
      </c>
      <c r="E68" s="45" t="s">
        <v>257</v>
      </c>
      <c r="F68" s="82">
        <v>47000</v>
      </c>
    </row>
    <row r="69" spans="3:6">
      <c r="C69" s="56">
        <v>34</v>
      </c>
      <c r="D69" s="47" t="s">
        <v>250</v>
      </c>
      <c r="E69" s="79" t="s">
        <v>257</v>
      </c>
      <c r="F69" s="83">
        <v>53000</v>
      </c>
    </row>
    <row r="70" spans="3:6">
      <c r="C70" s="30"/>
      <c r="D70" s="10"/>
      <c r="E70" s="10"/>
      <c r="F70" s="10"/>
    </row>
    <row r="71" spans="3:6">
      <c r="C71" s="10"/>
      <c r="D71" s="10"/>
      <c r="E71" s="10"/>
      <c r="F71" s="10"/>
    </row>
    <row r="72" spans="3:6">
      <c r="C72" s="10"/>
      <c r="D72" s="10"/>
      <c r="E72" s="10"/>
      <c r="F72" s="10"/>
    </row>
    <row r="73" spans="3:6">
      <c r="C73" s="10"/>
      <c r="D73" s="10"/>
      <c r="E73" s="10"/>
      <c r="F73" s="10"/>
    </row>
    <row r="74" spans="3:6">
      <c r="C74" s="10"/>
      <c r="D74" s="10"/>
      <c r="E74" s="10"/>
      <c r="F74" s="10"/>
    </row>
    <row r="75" spans="3:6">
      <c r="C75" s="10"/>
      <c r="D75" s="10"/>
      <c r="E75" s="10"/>
      <c r="F75" s="10"/>
    </row>
    <row r="76" spans="3:6">
      <c r="C76" s="10"/>
      <c r="D76" s="10"/>
      <c r="E76" s="10"/>
      <c r="F76" s="10"/>
    </row>
    <row r="77" spans="3:6">
      <c r="C77" s="10"/>
      <c r="D77" s="10"/>
      <c r="E77" s="10"/>
      <c r="F77" s="10"/>
    </row>
    <row r="78" spans="3:6">
      <c r="C78" s="10"/>
      <c r="D78" s="10"/>
      <c r="E78" s="10"/>
      <c r="F78" s="10"/>
    </row>
    <row r="79" spans="3:6">
      <c r="C79" s="10"/>
      <c r="D79" s="10"/>
      <c r="E79" s="10"/>
      <c r="F79" s="10"/>
    </row>
    <row r="80" spans="3:6">
      <c r="C80" s="10"/>
      <c r="D80" s="10"/>
      <c r="E80" s="10"/>
      <c r="F80" s="10"/>
    </row>
    <row r="81" spans="3:6">
      <c r="C81" s="10"/>
      <c r="D81" s="10"/>
      <c r="E81" s="10"/>
      <c r="F81" s="10"/>
    </row>
    <row r="82" spans="3:6">
      <c r="C82" s="10"/>
      <c r="D82" s="10"/>
      <c r="E82" s="10"/>
      <c r="F82" s="10"/>
    </row>
    <row r="83" spans="3:6">
      <c r="C83" s="10"/>
      <c r="D83" s="10"/>
      <c r="E83" s="10"/>
      <c r="F83" s="10"/>
    </row>
    <row r="84" spans="3:6">
      <c r="C84" s="10"/>
      <c r="D84" s="10"/>
      <c r="E84" s="10"/>
      <c r="F84" s="10"/>
    </row>
    <row r="85" spans="3:6">
      <c r="C85" s="10"/>
      <c r="D85" s="10"/>
      <c r="E85" s="10"/>
      <c r="F85" s="10"/>
    </row>
    <row r="86" spans="3:6">
      <c r="C86" s="10"/>
      <c r="D86" s="10"/>
      <c r="E86" s="10"/>
      <c r="F86" s="10"/>
    </row>
    <row r="87" spans="3:6">
      <c r="C87" s="10"/>
      <c r="D87" s="10"/>
      <c r="E87" s="10"/>
      <c r="F87" s="10"/>
    </row>
    <row r="88" spans="3:6">
      <c r="C88" s="10"/>
      <c r="D88" s="10"/>
      <c r="E88" s="10"/>
      <c r="F88" s="10"/>
    </row>
    <row r="89" spans="3:6">
      <c r="C89" s="10"/>
      <c r="D89" s="10"/>
      <c r="E89" s="10"/>
      <c r="F89" s="10"/>
    </row>
    <row r="90" spans="3:6">
      <c r="C90" s="10"/>
      <c r="D90" s="10"/>
      <c r="E90" s="10"/>
      <c r="F90" s="10"/>
    </row>
    <row r="91" spans="3:6">
      <c r="C91" s="10"/>
      <c r="D91" s="10"/>
      <c r="E91" s="10"/>
      <c r="F91" s="10"/>
    </row>
    <row r="92" spans="3:6">
      <c r="C92" s="10"/>
      <c r="D92" s="10"/>
      <c r="E92" s="10"/>
      <c r="F92" s="10"/>
    </row>
    <row r="93" spans="3:6">
      <c r="C93" s="10"/>
      <c r="D93" s="10"/>
      <c r="E93" s="10"/>
      <c r="F93" s="10"/>
    </row>
    <row r="94" spans="3:6">
      <c r="C94" s="10"/>
      <c r="D94" s="10"/>
      <c r="E94" s="10"/>
      <c r="F94" s="10"/>
    </row>
    <row r="95" spans="3:6">
      <c r="C95" s="10"/>
      <c r="D95" s="10"/>
      <c r="E95" s="10"/>
      <c r="F95" s="10"/>
    </row>
    <row r="96" spans="3:6">
      <c r="C96" s="10"/>
      <c r="D96" s="10"/>
      <c r="E96" s="10"/>
      <c r="F96" s="10"/>
    </row>
    <row r="97" spans="3:6">
      <c r="C97" s="10"/>
      <c r="D97" s="10"/>
      <c r="E97" s="10"/>
      <c r="F97" s="10"/>
    </row>
    <row r="98" spans="3:6">
      <c r="C98" s="10"/>
      <c r="D98" s="10"/>
      <c r="E98" s="10"/>
      <c r="F98" s="10"/>
    </row>
    <row r="99" spans="3:6">
      <c r="C99" s="10"/>
      <c r="D99" s="10"/>
      <c r="E99" s="10"/>
      <c r="F99" s="10"/>
    </row>
    <row r="100" spans="3:6">
      <c r="C100" s="10"/>
      <c r="D100" s="10"/>
      <c r="E100" s="10"/>
      <c r="F100" s="10"/>
    </row>
    <row r="101" spans="3:6">
      <c r="C101" s="10"/>
      <c r="D101" s="10"/>
      <c r="E101" s="10"/>
      <c r="F101" s="10"/>
    </row>
    <row r="102" spans="3:6">
      <c r="C102" s="10"/>
      <c r="D102" s="10"/>
      <c r="E102" s="10"/>
      <c r="F102" s="10"/>
    </row>
    <row r="103" spans="3:6">
      <c r="C103" s="10"/>
      <c r="D103" s="10"/>
      <c r="E103" s="10"/>
      <c r="F103" s="10"/>
    </row>
    <row r="104" spans="3:6">
      <c r="C104" s="10"/>
      <c r="D104" s="10"/>
      <c r="E104" s="10"/>
      <c r="F104" s="10"/>
    </row>
    <row r="105" spans="3:6">
      <c r="C105" s="10"/>
      <c r="D105" s="10"/>
      <c r="E105" s="10"/>
      <c r="F105" s="10"/>
    </row>
    <row r="106" spans="3:6">
      <c r="C106" s="10"/>
      <c r="D106" s="10"/>
      <c r="E106" s="10"/>
      <c r="F106" s="10"/>
    </row>
    <row r="107" spans="3:6">
      <c r="C107" s="10"/>
      <c r="D107" s="10"/>
      <c r="E107" s="10"/>
      <c r="F107" s="10"/>
    </row>
    <row r="108" spans="3:6">
      <c r="C108" s="10"/>
      <c r="D108" s="10"/>
      <c r="E108" s="10"/>
      <c r="F108" s="10"/>
    </row>
    <row r="109" spans="3:6">
      <c r="C109" s="10"/>
      <c r="D109" s="10"/>
      <c r="E109" s="10"/>
      <c r="F109" s="10"/>
    </row>
    <row r="110" spans="3:6">
      <c r="C110" s="10"/>
      <c r="D110" s="10"/>
      <c r="E110" s="10"/>
      <c r="F110" s="10"/>
    </row>
    <row r="111" spans="3:6">
      <c r="C111" s="10"/>
      <c r="D111" s="10"/>
      <c r="E111" s="10"/>
      <c r="F111" s="10"/>
    </row>
    <row r="112" spans="3:6">
      <c r="C112" s="10"/>
      <c r="D112" s="10"/>
      <c r="E112" s="10"/>
      <c r="F112" s="10"/>
    </row>
    <row r="113" spans="3:6">
      <c r="C113" s="10"/>
      <c r="D113" s="10"/>
      <c r="E113" s="10"/>
      <c r="F113" s="10"/>
    </row>
    <row r="114" spans="3:6">
      <c r="C114" s="10"/>
      <c r="D114" s="10"/>
      <c r="E114" s="10"/>
      <c r="F114" s="10"/>
    </row>
    <row r="115" spans="3:6">
      <c r="C115" s="10"/>
      <c r="D115" s="10"/>
      <c r="E115" s="10"/>
      <c r="F115" s="10"/>
    </row>
    <row r="116" spans="3:6">
      <c r="C116" s="10"/>
      <c r="D116" s="10"/>
      <c r="E116" s="10"/>
      <c r="F116" s="10"/>
    </row>
    <row r="117" spans="3:6">
      <c r="C117" s="10"/>
      <c r="D117" s="10"/>
      <c r="E117" s="10"/>
      <c r="F117" s="10"/>
    </row>
    <row r="118" spans="3:6">
      <c r="C118" s="10"/>
      <c r="D118" s="10"/>
      <c r="E118" s="10"/>
      <c r="F118" s="10"/>
    </row>
  </sheetData>
  <mergeCells count="2">
    <mergeCell ref="H2:I3"/>
    <mergeCell ref="C2:F3"/>
  </mergeCells>
  <hyperlinks>
    <hyperlink ref="H2:I3" location="MENU!A1" display="MENU" xr:uid="{00000000-0004-0000-0800-000000000000}"/>
  </hyperlinks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L20"/>
  <sheetViews>
    <sheetView workbookViewId="0">
      <selection activeCell="B10" sqref="B10"/>
    </sheetView>
  </sheetViews>
  <sheetFormatPr defaultRowHeight="15"/>
  <cols>
    <col min="1" max="1" width="4" bestFit="1" customWidth="1"/>
    <col min="2" max="2" width="19.625" bestFit="1" customWidth="1"/>
    <col min="3" max="3" width="6" customWidth="1"/>
    <col min="4" max="4" width="4.625" bestFit="1" customWidth="1"/>
    <col min="5" max="5" width="12.125" customWidth="1"/>
    <col min="6" max="6" width="14" customWidth="1"/>
  </cols>
  <sheetData>
    <row r="1" spans="1:12" ht="15" customHeight="1">
      <c r="A1" s="22"/>
      <c r="B1" s="157" t="s">
        <v>170</v>
      </c>
      <c r="C1" s="157"/>
      <c r="D1" s="157"/>
      <c r="E1" s="157"/>
    </row>
    <row r="2" spans="1:12" ht="15" customHeight="1">
      <c r="A2" s="22"/>
      <c r="B2" s="157"/>
      <c r="C2" s="157"/>
      <c r="D2" s="157"/>
      <c r="E2" s="157"/>
      <c r="H2" s="89"/>
      <c r="I2" s="89"/>
    </row>
    <row r="3" spans="1:12" ht="15" customHeight="1">
      <c r="A3" s="129" t="s">
        <v>171</v>
      </c>
      <c r="B3" s="129"/>
      <c r="C3" s="129"/>
      <c r="D3" s="129"/>
      <c r="E3" s="129"/>
      <c r="F3" s="129"/>
      <c r="G3" s="23"/>
      <c r="H3" s="89"/>
      <c r="I3" s="89"/>
      <c r="K3" s="99" t="s">
        <v>180</v>
      </c>
      <c r="L3" s="99"/>
    </row>
    <row r="4" spans="1:12">
      <c r="K4" s="99"/>
      <c r="L4" s="99"/>
    </row>
    <row r="5" spans="1:12" ht="18.75">
      <c r="B5" s="158" t="s">
        <v>172</v>
      </c>
      <c r="C5" s="158"/>
      <c r="D5" s="158"/>
      <c r="E5" s="158"/>
      <c r="H5" s="159"/>
      <c r="I5" s="159"/>
    </row>
    <row r="6" spans="1:12">
      <c r="H6" s="159"/>
      <c r="I6" s="159"/>
    </row>
    <row r="7" spans="1:12">
      <c r="E7" t="s">
        <v>173</v>
      </c>
      <c r="F7" s="3">
        <f ca="1">TODAY()</f>
        <v>43466</v>
      </c>
    </row>
    <row r="9" spans="1:12">
      <c r="A9" s="19" t="s">
        <v>1</v>
      </c>
      <c r="B9" s="19" t="s">
        <v>273</v>
      </c>
      <c r="C9" s="19" t="s">
        <v>86</v>
      </c>
      <c r="D9" s="20" t="s">
        <v>274</v>
      </c>
      <c r="E9" s="19" t="s">
        <v>174</v>
      </c>
      <c r="F9" s="19" t="s">
        <v>175</v>
      </c>
    </row>
    <row r="10" spans="1:12">
      <c r="A10" s="35"/>
      <c r="B10" s="35" t="s">
        <v>268</v>
      </c>
      <c r="C10" s="86">
        <v>1</v>
      </c>
      <c r="D10" s="43" t="s">
        <v>257</v>
      </c>
      <c r="E10" s="87">
        <f>IF(D10="M",47000,IF(D10="L",53000,""))</f>
        <v>47000</v>
      </c>
      <c r="F10" s="88">
        <f>IFERROR(C10*E10,"")</f>
        <v>47000</v>
      </c>
    </row>
    <row r="11" spans="1:12">
      <c r="A11" s="35"/>
      <c r="B11" s="2" t="s">
        <v>199</v>
      </c>
      <c r="C11" s="43">
        <v>2</v>
      </c>
      <c r="D11" s="43" t="s">
        <v>35</v>
      </c>
      <c r="E11" s="87">
        <f t="shared" ref="E11:E14" si="0">IF(D11="M",47000,IF(D11="L",53000,""))</f>
        <v>53000</v>
      </c>
      <c r="F11" s="88">
        <f t="shared" ref="F11:F14" si="1">IFERROR(C11*E11,"")</f>
        <v>106000</v>
      </c>
    </row>
    <row r="12" spans="1:12">
      <c r="A12" s="35"/>
      <c r="B12" s="2"/>
      <c r="C12" s="43"/>
      <c r="D12" s="43" t="s">
        <v>35</v>
      </c>
      <c r="E12" s="87">
        <f t="shared" si="0"/>
        <v>53000</v>
      </c>
      <c r="F12" s="88">
        <f t="shared" si="1"/>
        <v>0</v>
      </c>
    </row>
    <row r="13" spans="1:12">
      <c r="A13" s="35" t="str">
        <f>IF(B13="","",SUBTOTAL(103,$B$10:B13))</f>
        <v/>
      </c>
      <c r="B13" s="2"/>
      <c r="C13" s="43"/>
      <c r="D13" s="43"/>
      <c r="E13" s="87" t="str">
        <f t="shared" si="0"/>
        <v/>
      </c>
      <c r="F13" s="88" t="str">
        <f t="shared" si="1"/>
        <v/>
      </c>
    </row>
    <row r="14" spans="1:12">
      <c r="A14" s="35" t="str">
        <f>IF(B14="","",SUBTOTAL(103,$B$10:B14))</f>
        <v/>
      </c>
      <c r="B14" s="2"/>
      <c r="C14" s="43"/>
      <c r="D14" s="43"/>
      <c r="E14" s="87" t="str">
        <f t="shared" si="0"/>
        <v/>
      </c>
      <c r="F14" s="88" t="str">
        <f t="shared" si="1"/>
        <v/>
      </c>
    </row>
    <row r="15" spans="1:12">
      <c r="A15" s="106" t="s">
        <v>178</v>
      </c>
      <c r="B15" s="106"/>
      <c r="C15" s="106"/>
      <c r="D15" s="106"/>
      <c r="E15" s="107"/>
      <c r="F15" s="88">
        <f>SUM(F10:F14)</f>
        <v>153000</v>
      </c>
    </row>
    <row r="16" spans="1:12">
      <c r="A16" s="106" t="e">
        <f ca="1">_xll.VND(F15)</f>
        <v>#NAME?</v>
      </c>
      <c r="B16" s="106"/>
      <c r="C16" s="106"/>
      <c r="D16" s="106"/>
      <c r="E16" s="106"/>
      <c r="F16" s="107"/>
    </row>
    <row r="17" spans="1:6">
      <c r="A17" s="106" t="s">
        <v>176</v>
      </c>
      <c r="B17" s="106"/>
      <c r="C17" s="106"/>
      <c r="D17" s="106"/>
      <c r="E17" s="107"/>
      <c r="F17" s="18">
        <v>600000</v>
      </c>
    </row>
    <row r="18" spans="1:6">
      <c r="A18" s="106" t="s">
        <v>177</v>
      </c>
      <c r="B18" s="106"/>
      <c r="C18" s="106"/>
      <c r="D18" s="106"/>
      <c r="E18" s="107"/>
      <c r="F18" s="18">
        <f>F17-F15</f>
        <v>447000</v>
      </c>
    </row>
    <row r="20" spans="1:6" ht="18.75">
      <c r="A20" s="160" t="s">
        <v>179</v>
      </c>
      <c r="B20" s="160"/>
      <c r="C20" s="160"/>
      <c r="D20" s="160"/>
      <c r="E20" s="160"/>
      <c r="F20" s="160"/>
    </row>
  </sheetData>
  <mergeCells count="10">
    <mergeCell ref="A20:F20"/>
    <mergeCell ref="A18:E18"/>
    <mergeCell ref="A15:E15"/>
    <mergeCell ref="A16:F16"/>
    <mergeCell ref="A17:E17"/>
    <mergeCell ref="B1:E2"/>
    <mergeCell ref="A3:F3"/>
    <mergeCell ref="B5:E5"/>
    <mergeCell ref="H5:I6"/>
    <mergeCell ref="K3:L4"/>
  </mergeCells>
  <dataValidations count="2">
    <dataValidation type="list" allowBlank="1" showInputMessage="1" showErrorMessage="1" errorTitle="Error" sqref="B10:B14" xr:uid="{00000000-0002-0000-0900-000000000000}">
      <formula1>SP</formula1>
    </dataValidation>
    <dataValidation type="list" allowBlank="1" showInputMessage="1" showErrorMessage="1" sqref="D10:D14" xr:uid="{00000000-0002-0000-0900-000001000000}">
      <formula1>"M,L"</formula1>
    </dataValidation>
  </dataValidations>
  <hyperlinks>
    <hyperlink ref="K3:L4" location="MENU!A1" display="MENU" xr:uid="{00000000-0004-0000-0900-000000000000}"/>
  </hyperlinks>
  <pageMargins left="0.70866141732283472" right="0.70866141732283472" top="0.74803149606299213" bottom="0.74803149606299213" header="0.31496062992125984" footer="0.31496062992125984"/>
  <pageSetup paperSize="9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/>
  <dimension ref="D3:G41"/>
  <sheetViews>
    <sheetView zoomScaleNormal="100" workbookViewId="0">
      <selection activeCell="E8" sqref="E8"/>
    </sheetView>
  </sheetViews>
  <sheetFormatPr defaultRowHeight="15"/>
  <sheetData>
    <row r="3" spans="4:7">
      <c r="D3" t="s">
        <v>168</v>
      </c>
      <c r="E3">
        <v>12</v>
      </c>
      <c r="F3" t="s">
        <v>169</v>
      </c>
      <c r="G3">
        <v>2018</v>
      </c>
    </row>
    <row r="7" spans="4:7">
      <c r="D7" s="36" t="s">
        <v>1</v>
      </c>
      <c r="E7" s="36" t="s">
        <v>276</v>
      </c>
      <c r="F7" s="36" t="s">
        <v>86</v>
      </c>
    </row>
    <row r="8" spans="4:7">
      <c r="D8" s="2" t="str">
        <f>IF(INHD!A10&lt;&gt;"",INHD!A10,"")</f>
        <v/>
      </c>
      <c r="E8" s="2" t="str">
        <f>IF(INHD!B10&lt;&gt;"",INHD!B10,"")</f>
        <v>Trà alisan vải</v>
      </c>
      <c r="F8" s="2">
        <f>IF(INHD!C10&lt;&gt;"",INHD!C10,"")</f>
        <v>1</v>
      </c>
    </row>
    <row r="9" spans="4:7">
      <c r="D9" s="2"/>
      <c r="E9" s="2"/>
      <c r="F9" s="2"/>
    </row>
    <row r="10" spans="4:7">
      <c r="D10" s="2"/>
      <c r="E10" s="2"/>
      <c r="F10" s="2"/>
    </row>
    <row r="11" spans="4:7">
      <c r="D11" s="2"/>
      <c r="E11" s="2"/>
      <c r="F11" s="2"/>
    </row>
    <row r="12" spans="4:7">
      <c r="D12" s="2"/>
      <c r="E12" s="2"/>
      <c r="F12" s="2"/>
    </row>
    <row r="13" spans="4:7">
      <c r="D13" s="2"/>
      <c r="E13" s="2"/>
      <c r="F13" s="2"/>
    </row>
    <row r="14" spans="4:7">
      <c r="D14" s="2"/>
      <c r="E14" s="2"/>
      <c r="F14" s="2"/>
    </row>
    <row r="15" spans="4:7">
      <c r="D15" s="2"/>
      <c r="E15" s="2"/>
      <c r="F15" s="2"/>
    </row>
    <row r="16" spans="4:7">
      <c r="D16" s="2"/>
      <c r="E16" s="2"/>
      <c r="F16" s="2"/>
    </row>
    <row r="17" spans="4:6">
      <c r="D17" s="2"/>
      <c r="E17" s="2"/>
      <c r="F17" s="2"/>
    </row>
    <row r="18" spans="4:6">
      <c r="D18" s="2"/>
      <c r="E18" s="2"/>
      <c r="F18" s="2"/>
    </row>
    <row r="19" spans="4:6">
      <c r="D19" s="2"/>
      <c r="E19" s="2"/>
      <c r="F19" s="2"/>
    </row>
    <row r="20" spans="4:6">
      <c r="D20" s="2"/>
      <c r="E20" s="2"/>
      <c r="F20" s="2"/>
    </row>
    <row r="21" spans="4:6">
      <c r="D21" s="2"/>
      <c r="E21" s="2"/>
      <c r="F21" s="2"/>
    </row>
    <row r="22" spans="4:6">
      <c r="D22" s="2"/>
      <c r="E22" s="2"/>
      <c r="F22" s="2"/>
    </row>
    <row r="23" spans="4:6">
      <c r="D23" s="2"/>
      <c r="E23" s="2"/>
      <c r="F23" s="2"/>
    </row>
    <row r="24" spans="4:6">
      <c r="D24" s="2"/>
      <c r="E24" s="2"/>
      <c r="F24" s="2"/>
    </row>
    <row r="25" spans="4:6">
      <c r="D25" s="2"/>
      <c r="E25" s="2"/>
      <c r="F25" s="2"/>
    </row>
    <row r="26" spans="4:6">
      <c r="D26" s="2"/>
      <c r="E26" s="2"/>
      <c r="F26" s="2"/>
    </row>
    <row r="27" spans="4:6">
      <c r="D27" s="2"/>
      <c r="E27" s="2"/>
      <c r="F27" s="2"/>
    </row>
    <row r="28" spans="4:6">
      <c r="D28" s="2"/>
      <c r="E28" s="2"/>
      <c r="F28" s="2"/>
    </row>
    <row r="29" spans="4:6">
      <c r="D29" s="2"/>
      <c r="E29" s="2"/>
      <c r="F29" s="2"/>
    </row>
    <row r="30" spans="4:6">
      <c r="D30" s="2"/>
      <c r="E30" s="2"/>
      <c r="F30" s="2"/>
    </row>
    <row r="31" spans="4:6">
      <c r="D31" s="2"/>
      <c r="E31" s="2"/>
      <c r="F31" s="2"/>
    </row>
    <row r="32" spans="4:6">
      <c r="D32" s="2"/>
      <c r="E32" s="2"/>
      <c r="F32" s="2"/>
    </row>
    <row r="33" spans="4:6">
      <c r="D33" s="2"/>
      <c r="E33" s="2"/>
      <c r="F33" s="2"/>
    </row>
    <row r="34" spans="4:6">
      <c r="D34" s="2"/>
      <c r="E34" s="2"/>
      <c r="F34" s="2"/>
    </row>
    <row r="35" spans="4:6">
      <c r="D35" s="2"/>
      <c r="E35" s="2"/>
      <c r="F35" s="2"/>
    </row>
    <row r="36" spans="4:6">
      <c r="D36" s="2"/>
      <c r="E36" s="2"/>
      <c r="F36" s="2"/>
    </row>
    <row r="37" spans="4:6">
      <c r="D37" s="2"/>
      <c r="E37" s="2"/>
      <c r="F37" s="2"/>
    </row>
    <row r="38" spans="4:6">
      <c r="D38" s="2"/>
      <c r="E38" s="2"/>
      <c r="F38" s="2"/>
    </row>
    <row r="39" spans="4:6">
      <c r="D39" s="2"/>
      <c r="E39" s="2"/>
      <c r="F39" s="2"/>
    </row>
    <row r="40" spans="4:6">
      <c r="D40" s="2"/>
      <c r="E40" s="2"/>
      <c r="F40" s="2"/>
    </row>
    <row r="41" spans="4:6">
      <c r="D41" s="2"/>
      <c r="E41" s="2"/>
      <c r="F41" s="2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27</vt:i4>
      </vt:variant>
    </vt:vector>
  </HeadingPairs>
  <TitlesOfParts>
    <vt:vector size="38" baseType="lpstr">
      <vt:lpstr>MENU</vt:lpstr>
      <vt:lpstr>DSNV</vt:lpstr>
      <vt:lpstr>BCC</vt:lpstr>
      <vt:lpstr>DMNVL</vt:lpstr>
      <vt:lpstr>BNNVL</vt:lpstr>
      <vt:lpstr>BXNVL</vt:lpstr>
      <vt:lpstr>NXT</vt:lpstr>
      <vt:lpstr>CHIPHI</vt:lpstr>
      <vt:lpstr>GIANY</vt:lpstr>
      <vt:lpstr>INHD</vt:lpstr>
      <vt:lpstr>LISTTH</vt:lpstr>
      <vt:lpstr>BCC</vt:lpstr>
      <vt:lpstr>BNNVL!BNNVL</vt:lpstr>
      <vt:lpstr>BXNVL!BXNVL</vt:lpstr>
      <vt:lpstr>DMNVL!DMNVL</vt:lpstr>
      <vt:lpstr>DSNV</vt:lpstr>
      <vt:lpstr>HỌ_VÀ_TÊN</vt:lpstr>
      <vt:lpstr>Lương_cơ_bản</vt:lpstr>
      <vt:lpstr>Lương_thực_tế</vt:lpstr>
      <vt:lpstr>MÃ_NV</vt:lpstr>
      <vt:lpstr>MH</vt:lpstr>
      <vt:lpstr>Nam</vt:lpstr>
      <vt:lpstr>Năm</vt:lpstr>
      <vt:lpstr>Năm1</vt:lpstr>
      <vt:lpstr>Năm2</vt:lpstr>
      <vt:lpstr>NVL</vt:lpstr>
      <vt:lpstr>INHD!Print_Area</vt:lpstr>
      <vt:lpstr>INHD!Print_Titles</vt:lpstr>
      <vt:lpstr>SI</vt:lpstr>
      <vt:lpstr>SP</vt:lpstr>
      <vt:lpstr>TH</vt:lpstr>
      <vt:lpstr>thang</vt:lpstr>
      <vt:lpstr>thang1</vt:lpstr>
      <vt:lpstr>thang2</vt:lpstr>
      <vt:lpstr>thang3</vt:lpstr>
      <vt:lpstr>Thưởng</vt:lpstr>
      <vt:lpstr>Tổng_công</vt:lpstr>
      <vt:lpstr>VL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Truong, Phuc H</cp:lastModifiedBy>
  <dcterms:created xsi:type="dcterms:W3CDTF">2018-12-04T13:42:01Z</dcterms:created>
  <dcterms:modified xsi:type="dcterms:W3CDTF">2019-01-01T06:28:56Z</dcterms:modified>
</cp:coreProperties>
</file>