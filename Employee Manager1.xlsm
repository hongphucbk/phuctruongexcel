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USER\Desktop\TEST PROJECT\"/>
    </mc:Choice>
  </mc:AlternateContent>
  <bookViews>
    <workbookView xWindow="0" yWindow="0" windowWidth="20445" windowHeight="7830"/>
  </bookViews>
  <sheets>
    <sheet name="Employee Mgr" sheetId="1" r:id="rId1"/>
    <sheet name="Employee List" sheetId="2" r:id="rId2"/>
  </sheets>
  <definedNames>
    <definedName name="EmployeeId">OFFSET('Employee List'!$A$4,,,COUNTA('Employee List'!$A$4:$A$999),1)</definedName>
    <definedName name="EmployeeName">OFFSET('Employee List'!$BB$4,,,996-COUNTBLANK('Employee List'!$BB$4:$BB$999),1)</definedName>
    <definedName name="ExistEmpGrp">"AddNewBtn,DeleteBtn"</definedName>
    <definedName name="Times">'Employee Mgr'!$A$185:$A$280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" l="1"/>
  <c r="B5" i="1"/>
  <c r="BB48" i="2"/>
  <c r="BB49" i="2"/>
  <c r="BB50" i="2"/>
  <c r="BB51" i="2"/>
  <c r="BB52" i="2"/>
  <c r="BB53" i="2"/>
  <c r="BB54" i="2"/>
  <c r="BB55" i="2"/>
  <c r="BB56" i="2"/>
  <c r="BB57" i="2"/>
  <c r="BB58" i="2"/>
  <c r="BB59" i="2"/>
  <c r="BB60" i="2"/>
  <c r="BB61" i="2"/>
  <c r="BB62" i="2"/>
  <c r="BB63" i="2"/>
  <c r="BB64" i="2"/>
  <c r="BB65" i="2"/>
  <c r="BB66" i="2"/>
  <c r="BB67" i="2"/>
  <c r="BB68" i="2"/>
  <c r="BB69" i="2"/>
  <c r="BB70" i="2"/>
  <c r="BB71" i="2"/>
  <c r="BB72" i="2"/>
  <c r="BB73" i="2"/>
  <c r="BB74" i="2"/>
  <c r="BB75" i="2"/>
  <c r="BB76" i="2"/>
  <c r="BB77" i="2"/>
  <c r="BB78" i="2"/>
  <c r="BB79" i="2"/>
  <c r="BB80" i="2"/>
  <c r="BB81" i="2"/>
  <c r="BB82" i="2"/>
  <c r="BB83" i="2"/>
  <c r="BB84" i="2"/>
  <c r="BB85" i="2"/>
  <c r="BB86" i="2"/>
  <c r="BB87" i="2"/>
  <c r="BB88" i="2"/>
  <c r="BB89" i="2"/>
  <c r="BB90" i="2"/>
  <c r="BB91" i="2"/>
  <c r="BB92" i="2"/>
  <c r="BB93" i="2"/>
  <c r="BB94" i="2"/>
  <c r="BB95" i="2"/>
  <c r="BB96" i="2"/>
  <c r="BB97" i="2"/>
  <c r="BB98" i="2"/>
  <c r="BB99" i="2"/>
  <c r="BB100" i="2"/>
  <c r="BB101" i="2"/>
  <c r="BB102" i="2"/>
  <c r="BB103" i="2"/>
  <c r="BB104" i="2"/>
  <c r="BB105" i="2"/>
  <c r="BB106" i="2"/>
  <c r="BB107" i="2"/>
  <c r="BB108" i="2"/>
  <c r="BB109" i="2"/>
  <c r="BB110" i="2"/>
  <c r="BB111" i="2"/>
  <c r="BB112" i="2"/>
  <c r="BB113" i="2"/>
  <c r="BB114" i="2"/>
  <c r="BB115" i="2"/>
  <c r="BB116" i="2"/>
  <c r="BB117" i="2"/>
  <c r="BB118" i="2"/>
  <c r="BB119" i="2"/>
  <c r="BB120" i="2"/>
  <c r="BB121" i="2"/>
  <c r="BB122" i="2"/>
  <c r="BB123" i="2"/>
  <c r="BB124" i="2"/>
  <c r="BB125" i="2"/>
  <c r="BB126" i="2"/>
  <c r="BB127" i="2"/>
  <c r="BB128" i="2"/>
  <c r="BB129" i="2"/>
  <c r="BB130" i="2"/>
  <c r="BB131" i="2"/>
  <c r="BB132" i="2"/>
  <c r="BB133" i="2"/>
  <c r="BB134" i="2"/>
  <c r="BB135" i="2"/>
  <c r="BB136" i="2"/>
  <c r="BB137" i="2"/>
  <c r="BB138" i="2"/>
  <c r="BB139" i="2"/>
  <c r="BB140" i="2"/>
  <c r="BB141" i="2"/>
  <c r="BB142" i="2"/>
  <c r="BB143" i="2"/>
  <c r="BB144" i="2"/>
  <c r="BB145" i="2"/>
  <c r="BB146" i="2"/>
  <c r="BB147" i="2"/>
  <c r="BB148" i="2"/>
  <c r="BB149" i="2"/>
  <c r="BB150" i="2"/>
  <c r="BB151" i="2"/>
  <c r="BB152" i="2"/>
  <c r="BB153" i="2"/>
  <c r="BB154" i="2"/>
  <c r="BB155" i="2"/>
  <c r="BB156" i="2"/>
  <c r="BB157" i="2"/>
  <c r="BB158" i="2"/>
  <c r="BB159" i="2"/>
  <c r="BB160" i="2"/>
  <c r="BB161" i="2"/>
  <c r="BB162" i="2"/>
  <c r="BB163" i="2"/>
  <c r="BB164" i="2"/>
  <c r="BB165" i="2"/>
  <c r="BB166" i="2"/>
  <c r="BB167" i="2"/>
  <c r="BB168" i="2"/>
  <c r="BB169" i="2"/>
  <c r="BB170" i="2"/>
  <c r="BB171" i="2"/>
  <c r="BB172" i="2"/>
  <c r="BB173" i="2"/>
  <c r="BB174" i="2"/>
  <c r="BB175" i="2"/>
  <c r="BB176" i="2"/>
  <c r="BB177" i="2"/>
  <c r="BB178" i="2"/>
  <c r="BB179" i="2"/>
  <c r="BB180" i="2"/>
  <c r="BB181" i="2"/>
  <c r="BB182" i="2"/>
  <c r="BB183" i="2"/>
  <c r="BB184" i="2"/>
  <c r="BB185" i="2"/>
  <c r="BB186" i="2"/>
  <c r="BB187" i="2"/>
  <c r="BB188" i="2"/>
  <c r="BB189" i="2"/>
  <c r="BB190" i="2"/>
  <c r="BB191" i="2"/>
  <c r="BB192" i="2"/>
  <c r="BB193" i="2"/>
  <c r="BB194" i="2"/>
  <c r="BB195" i="2"/>
  <c r="BB196" i="2"/>
  <c r="BB197" i="2"/>
  <c r="BB198" i="2"/>
  <c r="BB199" i="2"/>
  <c r="BB200" i="2"/>
  <c r="BB201" i="2"/>
  <c r="BB202" i="2"/>
  <c r="BB203" i="2"/>
  <c r="BB204" i="2"/>
  <c r="BB205" i="2"/>
  <c r="BB206" i="2"/>
  <c r="BB207" i="2"/>
  <c r="BB208" i="2"/>
  <c r="BB209" i="2"/>
  <c r="BB210" i="2"/>
  <c r="BB211" i="2"/>
  <c r="BB212" i="2"/>
  <c r="BB213" i="2"/>
  <c r="BB214" i="2"/>
  <c r="BB215" i="2"/>
  <c r="BB216" i="2"/>
  <c r="BB217" i="2"/>
  <c r="BB218" i="2"/>
  <c r="BB219" i="2"/>
  <c r="BB220" i="2"/>
  <c r="BB221" i="2"/>
  <c r="BB222" i="2"/>
  <c r="BB223" i="2"/>
  <c r="BB224" i="2"/>
  <c r="BB225" i="2"/>
  <c r="BB226" i="2"/>
  <c r="BB227" i="2"/>
  <c r="BB228" i="2"/>
  <c r="BB229" i="2"/>
  <c r="BB230" i="2"/>
  <c r="BB231" i="2"/>
  <c r="BB232" i="2"/>
  <c r="BB233" i="2"/>
  <c r="BB234" i="2"/>
  <c r="BB235" i="2"/>
  <c r="BB236" i="2"/>
  <c r="BB237" i="2"/>
  <c r="BB238" i="2"/>
  <c r="BB239" i="2"/>
  <c r="BB240" i="2"/>
  <c r="BB241" i="2"/>
  <c r="BB242" i="2"/>
  <c r="BB243" i="2"/>
  <c r="BB244" i="2"/>
  <c r="BB245" i="2"/>
  <c r="BB246" i="2"/>
  <c r="BB247" i="2"/>
  <c r="BB248" i="2"/>
  <c r="BB249" i="2"/>
  <c r="BB250" i="2"/>
  <c r="BB251" i="2"/>
  <c r="BB252" i="2"/>
  <c r="BB253" i="2"/>
  <c r="BB254" i="2"/>
  <c r="BB255" i="2"/>
  <c r="BB256" i="2"/>
  <c r="BB257" i="2"/>
  <c r="BB258" i="2"/>
  <c r="BB259" i="2"/>
  <c r="BB260" i="2"/>
  <c r="BB261" i="2"/>
  <c r="BB262" i="2"/>
  <c r="BB263" i="2"/>
  <c r="BB264" i="2"/>
  <c r="BB265" i="2"/>
  <c r="BB266" i="2"/>
  <c r="BB267" i="2"/>
  <c r="BB268" i="2"/>
  <c r="BB269" i="2"/>
  <c r="BB270" i="2"/>
  <c r="BB271" i="2"/>
  <c r="BB272" i="2"/>
  <c r="BB273" i="2"/>
  <c r="BB274" i="2"/>
  <c r="BB275" i="2"/>
  <c r="BB276" i="2"/>
  <c r="BB277" i="2"/>
  <c r="BB278" i="2"/>
  <c r="BB279" i="2"/>
  <c r="BB280" i="2"/>
  <c r="BB281" i="2"/>
  <c r="BB282" i="2"/>
  <c r="BB283" i="2"/>
  <c r="BB284" i="2"/>
  <c r="BB285" i="2"/>
  <c r="BB286" i="2"/>
  <c r="BB287" i="2"/>
  <c r="BB288" i="2"/>
  <c r="BB289" i="2"/>
  <c r="BB290" i="2"/>
  <c r="BB291" i="2"/>
  <c r="BB292" i="2"/>
  <c r="BB293" i="2"/>
  <c r="BB294" i="2"/>
  <c r="BB295" i="2"/>
  <c r="BB296" i="2"/>
  <c r="BB297" i="2"/>
  <c r="BB298" i="2"/>
  <c r="BB299" i="2"/>
  <c r="BB300" i="2"/>
  <c r="BB301" i="2"/>
  <c r="BB302" i="2"/>
  <c r="BB303" i="2"/>
  <c r="BB304" i="2"/>
  <c r="BB305" i="2"/>
  <c r="BB306" i="2"/>
  <c r="BB307" i="2"/>
  <c r="BB308" i="2"/>
  <c r="BB309" i="2"/>
  <c r="BB310" i="2"/>
  <c r="BB311" i="2"/>
  <c r="BB312" i="2"/>
  <c r="BB313" i="2"/>
  <c r="BB314" i="2"/>
  <c r="BB315" i="2"/>
  <c r="BB316" i="2"/>
  <c r="BB317" i="2"/>
  <c r="BB318" i="2"/>
  <c r="BB319" i="2"/>
  <c r="BB320" i="2"/>
  <c r="BB321" i="2"/>
  <c r="BB322" i="2"/>
  <c r="BB323" i="2"/>
  <c r="BB324" i="2"/>
  <c r="BB325" i="2"/>
  <c r="BB326" i="2"/>
  <c r="BB327" i="2"/>
  <c r="BB328" i="2"/>
  <c r="BB329" i="2"/>
  <c r="BB330" i="2"/>
  <c r="BB331" i="2"/>
  <c r="BB332" i="2"/>
  <c r="BB333" i="2"/>
  <c r="BB334" i="2"/>
  <c r="BB335" i="2"/>
  <c r="BB336" i="2"/>
  <c r="BB337" i="2"/>
  <c r="BB338" i="2"/>
  <c r="BB339" i="2"/>
  <c r="BB340" i="2"/>
  <c r="BB341" i="2"/>
  <c r="BB342" i="2"/>
  <c r="BB343" i="2"/>
  <c r="BB344" i="2"/>
  <c r="BB345" i="2"/>
  <c r="BB346" i="2"/>
  <c r="BB347" i="2"/>
  <c r="BB348" i="2"/>
  <c r="BB349" i="2"/>
  <c r="BB350" i="2"/>
  <c r="BB351" i="2"/>
  <c r="BB352" i="2"/>
  <c r="BB353" i="2"/>
  <c r="BB354" i="2"/>
  <c r="BB355" i="2"/>
  <c r="BB356" i="2"/>
  <c r="BB357" i="2"/>
  <c r="BB358" i="2"/>
  <c r="BB359" i="2"/>
  <c r="BB360" i="2"/>
  <c r="BB361" i="2"/>
  <c r="BB362" i="2"/>
  <c r="BB363" i="2"/>
  <c r="BB364" i="2"/>
  <c r="BB365" i="2"/>
  <c r="BB366" i="2"/>
  <c r="BB367" i="2"/>
  <c r="BB368" i="2"/>
  <c r="BB369" i="2"/>
  <c r="BB370" i="2"/>
  <c r="BB371" i="2"/>
  <c r="BB372" i="2"/>
  <c r="BB373" i="2"/>
  <c r="BB374" i="2"/>
  <c r="BB375" i="2"/>
  <c r="BB376" i="2"/>
  <c r="BB377" i="2"/>
  <c r="BB378" i="2"/>
  <c r="BB379" i="2"/>
  <c r="BB380" i="2"/>
  <c r="BB381" i="2"/>
  <c r="BB382" i="2"/>
  <c r="BB383" i="2"/>
  <c r="BB384" i="2"/>
  <c r="BB385" i="2"/>
  <c r="BB386" i="2"/>
  <c r="BB387" i="2"/>
  <c r="BB388" i="2"/>
  <c r="BB389" i="2"/>
  <c r="BB390" i="2"/>
  <c r="BB391" i="2"/>
  <c r="BB392" i="2"/>
  <c r="BB393" i="2"/>
  <c r="BB394" i="2"/>
  <c r="BB395" i="2"/>
  <c r="BB396" i="2"/>
  <c r="BB397" i="2"/>
  <c r="BB398" i="2"/>
  <c r="BB399" i="2"/>
  <c r="BB400" i="2"/>
  <c r="BB401" i="2"/>
  <c r="BB402" i="2"/>
  <c r="BB403" i="2"/>
  <c r="BB404" i="2"/>
  <c r="BB405" i="2"/>
  <c r="BB406" i="2"/>
  <c r="BB407" i="2"/>
  <c r="BB408" i="2"/>
  <c r="BB409" i="2"/>
  <c r="BB410" i="2"/>
  <c r="BB411" i="2"/>
  <c r="BB412" i="2"/>
  <c r="BB413" i="2"/>
  <c r="BB414" i="2"/>
  <c r="BB415" i="2"/>
  <c r="BB416" i="2"/>
  <c r="BB417" i="2"/>
  <c r="BB418" i="2"/>
  <c r="BB419" i="2"/>
  <c r="BB420" i="2"/>
  <c r="BB421" i="2"/>
  <c r="BB422" i="2"/>
  <c r="BB423" i="2"/>
  <c r="BB424" i="2"/>
  <c r="BB425" i="2"/>
  <c r="BB426" i="2"/>
  <c r="BB427" i="2"/>
  <c r="BB428" i="2"/>
  <c r="BB429" i="2"/>
  <c r="BB430" i="2"/>
  <c r="BB431" i="2"/>
  <c r="BB432" i="2"/>
  <c r="BB433" i="2"/>
  <c r="BB434" i="2"/>
  <c r="BB435" i="2"/>
  <c r="BB436" i="2"/>
  <c r="BB437" i="2"/>
  <c r="BB438" i="2"/>
  <c r="BB439" i="2"/>
  <c r="BB440" i="2"/>
  <c r="BB441" i="2"/>
  <c r="BB442" i="2"/>
  <c r="BB443" i="2"/>
  <c r="BB444" i="2"/>
  <c r="BB445" i="2"/>
  <c r="BB446" i="2"/>
  <c r="BB447" i="2"/>
  <c r="BB448" i="2"/>
  <c r="BB449" i="2"/>
  <c r="BB450" i="2"/>
  <c r="BB451" i="2"/>
  <c r="BB452" i="2"/>
  <c r="BB453" i="2"/>
  <c r="BB454" i="2"/>
  <c r="BB455" i="2"/>
  <c r="BB456" i="2"/>
  <c r="BB457" i="2"/>
  <c r="BB458" i="2"/>
  <c r="BB459" i="2"/>
  <c r="BB460" i="2"/>
  <c r="BB461" i="2"/>
  <c r="BB462" i="2"/>
  <c r="BB463" i="2"/>
  <c r="BB464" i="2"/>
  <c r="BB465" i="2"/>
  <c r="BB466" i="2"/>
  <c r="BB467" i="2"/>
  <c r="BB468" i="2"/>
  <c r="BB469" i="2"/>
  <c r="BB470" i="2"/>
  <c r="BB471" i="2"/>
  <c r="BB472" i="2"/>
  <c r="BB473" i="2"/>
  <c r="BB474" i="2"/>
  <c r="BB475" i="2"/>
  <c r="BB476" i="2"/>
  <c r="BB477" i="2"/>
  <c r="BB478" i="2"/>
  <c r="BB479" i="2"/>
  <c r="BB480" i="2"/>
  <c r="BB481" i="2"/>
  <c r="BB482" i="2"/>
  <c r="BB483" i="2"/>
  <c r="BB484" i="2"/>
  <c r="BB485" i="2"/>
  <c r="BB486" i="2"/>
  <c r="BB487" i="2"/>
  <c r="BB488" i="2"/>
  <c r="BB489" i="2"/>
  <c r="BB490" i="2"/>
  <c r="BB491" i="2"/>
  <c r="BB492" i="2"/>
  <c r="BB493" i="2"/>
  <c r="BB494" i="2"/>
  <c r="BB495" i="2"/>
  <c r="BB496" i="2"/>
  <c r="BB497" i="2"/>
  <c r="BB498" i="2"/>
  <c r="BB499" i="2"/>
  <c r="BB500" i="2"/>
  <c r="BB501" i="2"/>
  <c r="BB502" i="2"/>
  <c r="BB503" i="2"/>
  <c r="BB504" i="2"/>
  <c r="BB505" i="2"/>
  <c r="BB506" i="2"/>
  <c r="BB507" i="2"/>
  <c r="BB508" i="2"/>
  <c r="BB509" i="2"/>
  <c r="BB510" i="2"/>
  <c r="BB511" i="2"/>
  <c r="BB512" i="2"/>
  <c r="BB513" i="2"/>
  <c r="BB514" i="2"/>
  <c r="BB515" i="2"/>
  <c r="BB516" i="2"/>
  <c r="BB517" i="2"/>
  <c r="BB518" i="2"/>
  <c r="BB519" i="2"/>
  <c r="BB520" i="2"/>
  <c r="BB521" i="2"/>
  <c r="BB522" i="2"/>
  <c r="BB523" i="2"/>
  <c r="BB524" i="2"/>
  <c r="BB525" i="2"/>
  <c r="BB526" i="2"/>
  <c r="BB527" i="2"/>
  <c r="BB528" i="2"/>
  <c r="BB529" i="2"/>
  <c r="BB530" i="2"/>
  <c r="BB531" i="2"/>
  <c r="BB532" i="2"/>
  <c r="BB533" i="2"/>
  <c r="BB534" i="2"/>
  <c r="BB535" i="2"/>
  <c r="BB536" i="2"/>
  <c r="BB537" i="2"/>
  <c r="BB538" i="2"/>
  <c r="BB539" i="2"/>
  <c r="BB540" i="2"/>
  <c r="BB541" i="2"/>
  <c r="BB542" i="2"/>
  <c r="BB543" i="2"/>
  <c r="BB544" i="2"/>
  <c r="BB545" i="2"/>
  <c r="BB546" i="2"/>
  <c r="BB547" i="2"/>
  <c r="BB548" i="2"/>
  <c r="BB549" i="2"/>
  <c r="BB550" i="2"/>
  <c r="BB551" i="2"/>
  <c r="BB552" i="2"/>
  <c r="BB553" i="2"/>
  <c r="BB554" i="2"/>
  <c r="BB555" i="2"/>
  <c r="BB556" i="2"/>
  <c r="BB557" i="2"/>
  <c r="BB558" i="2"/>
  <c r="BB559" i="2"/>
  <c r="BB560" i="2"/>
  <c r="BB561" i="2"/>
  <c r="BB562" i="2"/>
  <c r="BB563" i="2"/>
  <c r="BB564" i="2"/>
  <c r="BB565" i="2"/>
  <c r="BB566" i="2"/>
  <c r="BB567" i="2"/>
  <c r="BB38" i="2"/>
  <c r="BB39" i="2"/>
  <c r="BB40" i="2"/>
  <c r="BB41" i="2"/>
  <c r="BB42" i="2"/>
  <c r="BB43" i="2"/>
  <c r="BB44" i="2"/>
  <c r="BB45" i="2"/>
  <c r="BB46" i="2"/>
  <c r="BB47" i="2"/>
  <c r="BB5" i="2"/>
  <c r="BB6" i="2"/>
  <c r="BB7" i="2"/>
  <c r="BB8" i="2"/>
  <c r="BB9" i="2"/>
  <c r="BB10" i="2"/>
  <c r="BB11" i="2"/>
  <c r="BB12" i="2"/>
  <c r="BB13" i="2"/>
  <c r="BB14" i="2"/>
  <c r="BB15" i="2"/>
  <c r="BB16" i="2"/>
  <c r="BB17" i="2"/>
  <c r="BB18" i="2"/>
  <c r="BB19" i="2"/>
  <c r="BB20" i="2"/>
  <c r="BB21" i="2"/>
  <c r="BB22" i="2"/>
  <c r="BB23" i="2"/>
  <c r="BB24" i="2"/>
  <c r="BB25" i="2"/>
  <c r="BB26" i="2"/>
  <c r="BB27" i="2"/>
  <c r="BB28" i="2"/>
  <c r="BB29" i="2"/>
  <c r="BB30" i="2"/>
  <c r="BB31" i="2"/>
  <c r="BB32" i="2"/>
  <c r="BB33" i="2"/>
  <c r="BB34" i="2"/>
  <c r="BB35" i="2"/>
  <c r="BB36" i="2"/>
  <c r="BB37" i="2"/>
  <c r="BB4" i="2"/>
  <c r="J156" i="1" l="1"/>
  <c r="J149" i="1"/>
  <c r="J154" i="1"/>
  <c r="J153" i="1"/>
  <c r="J152" i="1"/>
  <c r="J151" i="1"/>
  <c r="J150" i="1"/>
  <c r="J148" i="1"/>
  <c r="J155" i="1" l="1"/>
  <c r="J157" i="1" s="1"/>
</calcChain>
</file>

<file path=xl/sharedStrings.xml><?xml version="1.0" encoding="utf-8"?>
<sst xmlns="http://schemas.openxmlformats.org/spreadsheetml/2006/main" count="430" uniqueCount="212">
  <si>
    <t>EMPLOYEE MANAGER</t>
  </si>
  <si>
    <t>Employee:</t>
  </si>
  <si>
    <t>General Info</t>
  </si>
  <si>
    <t>Time Clock History</t>
  </si>
  <si>
    <t>Payroll History</t>
  </si>
  <si>
    <t>Payroll Details</t>
  </si>
  <si>
    <t>Selected Col</t>
  </si>
  <si>
    <t>Selected Row</t>
  </si>
  <si>
    <t>Last Name:</t>
  </si>
  <si>
    <t>First Name:</t>
  </si>
  <si>
    <t>Address:</t>
  </si>
  <si>
    <t>City:</t>
  </si>
  <si>
    <t>State:</t>
  </si>
  <si>
    <t>Zip Code:</t>
  </si>
  <si>
    <t>Cell Phone:</t>
  </si>
  <si>
    <t>Other Phone:</t>
  </si>
  <si>
    <t>Email:</t>
  </si>
  <si>
    <t>Position:</t>
  </si>
  <si>
    <t>From:</t>
  </si>
  <si>
    <t>To:</t>
  </si>
  <si>
    <t>Start Time</t>
  </si>
  <si>
    <t>Total Break</t>
  </si>
  <si>
    <t>Regular Hours</t>
  </si>
  <si>
    <t>OT Hours</t>
  </si>
  <si>
    <t>Date</t>
  </si>
  <si>
    <t>End Time</t>
  </si>
  <si>
    <t>Payroll Date</t>
  </si>
  <si>
    <t>Total Earnings</t>
  </si>
  <si>
    <t>Total Additions</t>
  </si>
  <si>
    <t>Net Income</t>
  </si>
  <si>
    <t>Tax Deductions</t>
  </si>
  <si>
    <t>Other Deductions</t>
  </si>
  <si>
    <t>Select Options</t>
  </si>
  <si>
    <t>Earnings Detail</t>
  </si>
  <si>
    <t>Tax Information</t>
  </si>
  <si>
    <t>Pay Deductions</t>
  </si>
  <si>
    <t>Pay Additions</t>
  </si>
  <si>
    <t>Pay Type:</t>
  </si>
  <si>
    <t>Hourly Amount:</t>
  </si>
  <si>
    <t>Hours Per Week:</t>
  </si>
  <si>
    <t>Weeks Per Year:</t>
  </si>
  <si>
    <t>Overtime Amount:</t>
  </si>
  <si>
    <t>Salary Frequency:</t>
  </si>
  <si>
    <t># of Dependents</t>
  </si>
  <si>
    <t>Soc. Sec. #/ID #</t>
  </si>
  <si>
    <t>State Territory</t>
  </si>
  <si>
    <t>Enter tax Name</t>
  </si>
  <si>
    <t>Wage %</t>
  </si>
  <si>
    <t>Base Limit</t>
  </si>
  <si>
    <t>Maximum Cost</t>
  </si>
  <si>
    <t>Federal &amp; Local Tax Deductions</t>
  </si>
  <si>
    <t>Payroll Deductions</t>
  </si>
  <si>
    <t>Deduction Name</t>
  </si>
  <si>
    <t>Amount</t>
  </si>
  <si>
    <t>Frequency</t>
  </si>
  <si>
    <t>Annual Total</t>
  </si>
  <si>
    <t>Addition Name</t>
  </si>
  <si>
    <t>Payroll Additions</t>
  </si>
  <si>
    <t>Schedulling</t>
  </si>
  <si>
    <t>Leave</t>
  </si>
  <si>
    <t>Weekly Schedule</t>
  </si>
  <si>
    <t>Weekday</t>
  </si>
  <si>
    <t>Workday</t>
  </si>
  <si>
    <t>Break Hours</t>
  </si>
  <si>
    <t>Total Hours</t>
  </si>
  <si>
    <t>Monday</t>
  </si>
  <si>
    <t>Tuesday</t>
  </si>
  <si>
    <t>Wednesday</t>
  </si>
  <si>
    <t>Thursday</t>
  </si>
  <si>
    <t>Friday</t>
  </si>
  <si>
    <t>Saturday</t>
  </si>
  <si>
    <t>Sunday</t>
  </si>
  <si>
    <t>Off</t>
  </si>
  <si>
    <t>Total Work Schedule:</t>
  </si>
  <si>
    <t>Total Breaks:</t>
  </si>
  <si>
    <t>Total Working Time:</t>
  </si>
  <si>
    <t>Annual Leave</t>
  </si>
  <si>
    <t>Leave Type</t>
  </si>
  <si>
    <t>Paid / Not Paid</t>
  </si>
  <si>
    <t>Accrued Annually</t>
  </si>
  <si>
    <t>Annual Hrs. Allowed</t>
  </si>
  <si>
    <t>Annual Hrs. Used</t>
  </si>
  <si>
    <t>Hours Remaining</t>
  </si>
  <si>
    <t>Earned Paid Time Off (PTO)</t>
  </si>
  <si>
    <t>PTO Status</t>
  </si>
  <si>
    <t>Accrued PTO</t>
  </si>
  <si>
    <t>Used</t>
  </si>
  <si>
    <t>Earnings Rate Per Hr.</t>
  </si>
  <si>
    <t>Annual Max (Hours)</t>
  </si>
  <si>
    <t>Balance</t>
  </si>
  <si>
    <t>File Name</t>
  </si>
  <si>
    <t>File Attachments</t>
  </si>
  <si>
    <t>File Type</t>
  </si>
  <si>
    <t>File Path</t>
  </si>
  <si>
    <t>Added On</t>
  </si>
  <si>
    <t>Added By</t>
  </si>
  <si>
    <t>Hire Date:</t>
  </si>
  <si>
    <t>Gender:</t>
  </si>
  <si>
    <t xml:space="preserve">  </t>
  </si>
  <si>
    <t>Empl ID:</t>
  </si>
  <si>
    <t>Employee List</t>
  </si>
  <si>
    <t>Last Name</t>
  </si>
  <si>
    <t>First Name</t>
  </si>
  <si>
    <t>Gender</t>
  </si>
  <si>
    <t>Address</t>
  </si>
  <si>
    <t>City</t>
  </si>
  <si>
    <t>State</t>
  </si>
  <si>
    <t>Zip</t>
  </si>
  <si>
    <t>Position</t>
  </si>
  <si>
    <t>Status</t>
  </si>
  <si>
    <t>Cell Phone</t>
  </si>
  <si>
    <t>Other Phone</t>
  </si>
  <si>
    <t>Email</t>
  </si>
  <si>
    <t>Hire Date</t>
  </si>
  <si>
    <t>Empl. ID</t>
  </si>
  <si>
    <t>Status:</t>
  </si>
  <si>
    <t>F16</t>
  </si>
  <si>
    <t>H16</t>
  </si>
  <si>
    <t>F12</t>
  </si>
  <si>
    <t>H10</t>
  </si>
  <si>
    <t>F10</t>
  </si>
  <si>
    <t>F8</t>
  </si>
  <si>
    <t>J14</t>
  </si>
  <si>
    <t>H6</t>
  </si>
  <si>
    <t>F6</t>
  </si>
  <si>
    <t>F2</t>
  </si>
  <si>
    <t>H12</t>
  </si>
  <si>
    <t>F14</t>
  </si>
  <si>
    <t>H14</t>
  </si>
  <si>
    <t>J16</t>
  </si>
  <si>
    <t>Pay Type</t>
  </si>
  <si>
    <t>G66</t>
  </si>
  <si>
    <t>I66</t>
  </si>
  <si>
    <t>Frequency ammount</t>
  </si>
  <si>
    <t>hourly Ammount</t>
  </si>
  <si>
    <t>Overtime Amount</t>
  </si>
  <si>
    <t>Hours Per Week</t>
  </si>
  <si>
    <t>Weeks Per yer</t>
  </si>
  <si>
    <t>State territory</t>
  </si>
  <si>
    <t>G68</t>
  </si>
  <si>
    <t>I68</t>
  </si>
  <si>
    <t>G70</t>
  </si>
  <si>
    <t>I70</t>
  </si>
  <si>
    <t>G86</t>
  </si>
  <si>
    <t>I86</t>
  </si>
  <si>
    <t>G88</t>
  </si>
  <si>
    <t>I88</t>
  </si>
  <si>
    <t>OPEN</t>
  </si>
  <si>
    <t>F182</t>
  </si>
  <si>
    <t>PTO STATUS</t>
  </si>
  <si>
    <t>H182</t>
  </si>
  <si>
    <t>Earnings Rate Per Hour</t>
  </si>
  <si>
    <t>Annual Max (Hour)</t>
  </si>
  <si>
    <t>J182</t>
  </si>
  <si>
    <t>J10</t>
  </si>
  <si>
    <t>Emmanuel</t>
  </si>
  <si>
    <t>Ilukwe</t>
  </si>
  <si>
    <t>Male</t>
  </si>
  <si>
    <t>Female</t>
  </si>
  <si>
    <t>Juliet</t>
  </si>
  <si>
    <t>Brown</t>
  </si>
  <si>
    <t>Andrew</t>
  </si>
  <si>
    <t>Pipe</t>
  </si>
  <si>
    <t>Dania</t>
  </si>
  <si>
    <t>John</t>
  </si>
  <si>
    <t>Christy</t>
  </si>
  <si>
    <t>Amber</t>
  </si>
  <si>
    <t>Judy</t>
  </si>
  <si>
    <t>Ben</t>
  </si>
  <si>
    <t>Festus</t>
  </si>
  <si>
    <t>Badin</t>
  </si>
  <si>
    <t>Street Bord Road</t>
  </si>
  <si>
    <t>Corrola Road</t>
  </si>
  <si>
    <t>Piid Street</t>
  </si>
  <si>
    <t>Gorrila Ave</t>
  </si>
  <si>
    <t>Offshore Road</t>
  </si>
  <si>
    <t>Better Naij Road</t>
  </si>
  <si>
    <t>Apapa Port road</t>
  </si>
  <si>
    <t>Corner Street</t>
  </si>
  <si>
    <t>nhhsn@Gmail.com</t>
  </si>
  <si>
    <t>gggg@yahoomail.com</t>
  </si>
  <si>
    <t xml:space="preserve">ek@yahoomail.com </t>
  </si>
  <si>
    <t>skkk@gmail.com</t>
  </si>
  <si>
    <t>dhh@yahoo.com</t>
  </si>
  <si>
    <t>777rrtt@gmail.com</t>
  </si>
  <si>
    <t>gnhss@gmail.com</t>
  </si>
  <si>
    <t>09000000001</t>
  </si>
  <si>
    <t>09000000002</t>
  </si>
  <si>
    <t>08000000001</t>
  </si>
  <si>
    <t>08000000002</t>
  </si>
  <si>
    <t>Employee Id</t>
  </si>
  <si>
    <t>Nigeria</t>
  </si>
  <si>
    <t>Angola</t>
  </si>
  <si>
    <t>Zimbabwe</t>
  </si>
  <si>
    <t>India</t>
  </si>
  <si>
    <t>England</t>
  </si>
  <si>
    <t>Columbia</t>
  </si>
  <si>
    <t>Ghana</t>
  </si>
  <si>
    <t>Sweden</t>
  </si>
  <si>
    <t>Ireland</t>
  </si>
  <si>
    <t>Paris</t>
  </si>
  <si>
    <t>Germany</t>
  </si>
  <si>
    <t>Lagos</t>
  </si>
  <si>
    <t>PorTHarcourt</t>
  </si>
  <si>
    <t>Cario</t>
  </si>
  <si>
    <t>Abuja</t>
  </si>
  <si>
    <t>Employee load</t>
  </si>
  <si>
    <t>Empl ID Row</t>
  </si>
  <si>
    <t>Empl Name Row</t>
  </si>
  <si>
    <t>Employee New</t>
  </si>
  <si>
    <t>C:\Users\USER\Documents\PLATES PICTURES</t>
  </si>
  <si>
    <t>ThumbPic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</si>
</sst>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h:mm\ AM/PM;@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3" tint="0.79998168889431442"/>
      <name val="Calibri"/>
      <family val="2"/>
      <scheme val="minor"/>
    </font>
    <font>
      <sz val="2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gradientFill degree="90">
        <stop position="0">
          <color theme="4" tint="-0.25098422193060094"/>
        </stop>
        <stop position="1">
          <color theme="4" tint="0.40000610370189521"/>
        </stop>
      </gradient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4" tint="0.59999389629810485"/>
        </stop>
        <stop position="1">
          <color theme="4" tint="0.40000610370189521"/>
        </stop>
      </gradientFill>
    </fill>
    <fill>
      <gradientFill degree="90">
        <stop position="0">
          <color theme="4" tint="0.40000610370189521"/>
        </stop>
        <stop position="1">
          <color theme="5" tint="0.59999389629810485"/>
        </stop>
      </gradientFill>
    </fill>
    <fill>
      <gradientFill>
        <stop position="0">
          <color theme="4" tint="0.40000610370189521"/>
        </stop>
        <stop position="1">
          <color theme="4" tint="0.80001220740379042"/>
        </stop>
      </gradient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</fills>
  <borders count="73">
    <border>
      <left/>
      <right/>
      <top/>
      <bottom/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 style="dotted">
        <color rgb="FF0070C0"/>
      </right>
      <top style="thin">
        <color rgb="FF0070C0"/>
      </top>
      <bottom style="thin">
        <color rgb="FF0070C0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/>
      <right/>
      <top style="medium">
        <color rgb="FF0070C0"/>
      </top>
      <bottom/>
      <diagonal/>
    </border>
    <border>
      <left style="medium">
        <color rgb="FF0070C0"/>
      </left>
      <right/>
      <top/>
      <bottom/>
      <diagonal/>
    </border>
    <border>
      <left/>
      <right style="medium">
        <color rgb="FF0070C0"/>
      </right>
      <top/>
      <bottom/>
      <diagonal/>
    </border>
    <border>
      <left style="medium">
        <color rgb="FF0070C0"/>
      </left>
      <right/>
      <top/>
      <bottom style="medium">
        <color rgb="FF0070C0"/>
      </bottom>
      <diagonal/>
    </border>
    <border>
      <left/>
      <right/>
      <top/>
      <bottom style="medium">
        <color rgb="FF0070C0"/>
      </bottom>
      <diagonal/>
    </border>
    <border>
      <left/>
      <right style="medium">
        <color rgb="FF0070C0"/>
      </right>
      <top/>
      <bottom style="medium">
        <color rgb="FF0070C0"/>
      </bottom>
      <diagonal/>
    </border>
    <border>
      <left style="hair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 style="hair">
        <color rgb="FF0070C0"/>
      </right>
      <top style="thin">
        <color rgb="FF0070C0"/>
      </top>
      <bottom style="thin">
        <color rgb="FF0070C0"/>
      </bottom>
      <diagonal/>
    </border>
    <border>
      <left style="hair">
        <color rgb="FF0070C0"/>
      </left>
      <right/>
      <top style="thin">
        <color rgb="FF0070C0"/>
      </top>
      <bottom style="thin">
        <color rgb="FF0070C0"/>
      </bottom>
      <diagonal/>
    </border>
    <border>
      <left style="medium">
        <color rgb="FF0070C0"/>
      </left>
      <right style="hair">
        <color rgb="FF0070C0"/>
      </right>
      <top style="thin">
        <color rgb="FF0070C0"/>
      </top>
      <bottom style="thin">
        <color rgb="FF0070C0"/>
      </bottom>
      <diagonal/>
    </border>
    <border>
      <left/>
      <right/>
      <top style="thin">
        <color rgb="FF0070C0"/>
      </top>
      <bottom style="thin">
        <color rgb="FF0070C0"/>
      </bottom>
      <diagonal/>
    </border>
    <border>
      <left/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 style="hair">
        <color rgb="FF0070C0"/>
      </right>
      <top style="thin">
        <color rgb="FF0070C0"/>
      </top>
      <bottom/>
      <diagonal/>
    </border>
    <border>
      <left style="hair">
        <color rgb="FF0070C0"/>
      </left>
      <right style="thin">
        <color rgb="FF0070C0"/>
      </right>
      <top style="thin">
        <color rgb="FF0070C0"/>
      </top>
      <bottom/>
      <diagonal/>
    </border>
    <border>
      <left style="medium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 style="medium">
        <color rgb="FF0070C0"/>
      </right>
      <top style="thin">
        <color rgb="FF0070C0"/>
      </top>
      <bottom style="thin">
        <color rgb="FF0070C0"/>
      </bottom>
      <diagonal/>
    </border>
    <border>
      <left style="medium">
        <color rgb="FF0070C0"/>
      </left>
      <right style="hair">
        <color rgb="FF0070C0"/>
      </right>
      <top style="thin">
        <color rgb="FF0070C0"/>
      </top>
      <bottom/>
      <diagonal/>
    </border>
    <border>
      <left style="hair">
        <color rgb="FF0070C0"/>
      </left>
      <right style="hair">
        <color rgb="FF0070C0"/>
      </right>
      <top style="thin">
        <color rgb="FF0070C0"/>
      </top>
      <bottom/>
      <diagonal/>
    </border>
    <border>
      <left style="hair">
        <color rgb="FF0070C0"/>
      </left>
      <right style="medium">
        <color rgb="FF0070C0"/>
      </right>
      <top style="thin">
        <color rgb="FF0070C0"/>
      </top>
      <bottom/>
      <diagonal/>
    </border>
    <border>
      <left style="medium">
        <color rgb="FF0070C0"/>
      </left>
      <right style="hair">
        <color rgb="FF0070C0"/>
      </right>
      <top/>
      <bottom/>
      <diagonal/>
    </border>
    <border>
      <left style="hair">
        <color rgb="FF0070C0"/>
      </left>
      <right style="hair">
        <color rgb="FF0070C0"/>
      </right>
      <top/>
      <bottom/>
      <diagonal/>
    </border>
    <border>
      <left style="hair">
        <color rgb="FF0070C0"/>
      </left>
      <right style="medium">
        <color rgb="FF0070C0"/>
      </right>
      <top/>
      <bottom/>
      <diagonal/>
    </border>
    <border>
      <left style="medium">
        <color rgb="FF0070C0"/>
      </left>
      <right style="double">
        <color rgb="FF0070C0"/>
      </right>
      <top/>
      <bottom/>
      <diagonal/>
    </border>
    <border>
      <left style="medium">
        <color rgb="FF0070C0"/>
      </left>
      <right style="double">
        <color rgb="FF0070C0"/>
      </right>
      <top/>
      <bottom style="medium">
        <color rgb="FF0070C0"/>
      </bottom>
      <diagonal/>
    </border>
    <border>
      <left style="medium">
        <color rgb="FF0070C0"/>
      </left>
      <right style="medium">
        <color rgb="FF0070C0"/>
      </right>
      <top/>
      <bottom style="medium">
        <color rgb="FF0070C0"/>
      </bottom>
      <diagonal/>
    </border>
    <border>
      <left style="medium">
        <color rgb="FF0070C0"/>
      </left>
      <right style="double">
        <color rgb="FF0070C0"/>
      </right>
      <top style="medium">
        <color rgb="FF0070C0"/>
      </top>
      <bottom style="thin">
        <color rgb="FF0070C0"/>
      </bottom>
      <diagonal/>
    </border>
    <border>
      <left style="medium">
        <color rgb="FF0070C0"/>
      </left>
      <right style="double">
        <color rgb="FF0070C0"/>
      </right>
      <top style="thin">
        <color rgb="FF0070C0"/>
      </top>
      <bottom style="thin">
        <color rgb="FF0070C0"/>
      </bottom>
      <diagonal/>
    </border>
    <border>
      <left style="dotted">
        <color rgb="FF0070C0"/>
      </left>
      <right/>
      <top style="thin">
        <color rgb="FF0070C0"/>
      </top>
      <bottom style="thin">
        <color rgb="FF0070C0"/>
      </bottom>
      <diagonal/>
    </border>
    <border>
      <left style="double">
        <color rgb="FF0070C0"/>
      </left>
      <right style="thin">
        <color rgb="FF0070C0"/>
      </right>
      <top style="medium">
        <color rgb="FF0070C0"/>
      </top>
      <bottom style="thin">
        <color rgb="FF0070C0"/>
      </bottom>
      <diagonal/>
    </border>
    <border>
      <left style="thin">
        <color rgb="FF0070C0"/>
      </left>
      <right style="thin">
        <color rgb="FF0070C0"/>
      </right>
      <top style="medium">
        <color rgb="FF0070C0"/>
      </top>
      <bottom style="thin">
        <color rgb="FF0070C0"/>
      </bottom>
      <diagonal/>
    </border>
    <border>
      <left style="thin">
        <color rgb="FF0070C0"/>
      </left>
      <right style="medium">
        <color rgb="FF0070C0"/>
      </right>
      <top style="medium">
        <color rgb="FF0070C0"/>
      </top>
      <bottom style="thin">
        <color rgb="FF0070C0"/>
      </bottom>
      <diagonal/>
    </border>
    <border>
      <left style="double">
        <color rgb="FF0070C0"/>
      </left>
      <right style="thin">
        <color rgb="FF0070C0"/>
      </right>
      <top style="thin">
        <color rgb="FF0070C0"/>
      </top>
      <bottom/>
      <diagonal/>
    </border>
    <border>
      <left style="thin">
        <color rgb="FF0070C0"/>
      </left>
      <right style="thin">
        <color rgb="FF0070C0"/>
      </right>
      <top style="thin">
        <color rgb="FF0070C0"/>
      </top>
      <bottom/>
      <diagonal/>
    </border>
    <border>
      <left style="thin">
        <color rgb="FF0070C0"/>
      </left>
      <right style="medium">
        <color rgb="FF0070C0"/>
      </right>
      <top style="thin">
        <color rgb="FF0070C0"/>
      </top>
      <bottom/>
      <diagonal/>
    </border>
    <border>
      <left style="double">
        <color rgb="FF0070C0"/>
      </left>
      <right style="hair">
        <color rgb="FF0070C0"/>
      </right>
      <top style="thin">
        <color rgb="FF0070C0"/>
      </top>
      <bottom/>
      <diagonal/>
    </border>
    <border>
      <left style="double">
        <color rgb="FF0070C0"/>
      </left>
      <right style="hair">
        <color rgb="FF0070C0"/>
      </right>
      <top/>
      <bottom/>
      <diagonal/>
    </border>
    <border>
      <left style="double">
        <color rgb="FF0070C0"/>
      </left>
      <right style="hair">
        <color rgb="FF0070C0"/>
      </right>
      <top/>
      <bottom style="medium">
        <color rgb="FF0070C0"/>
      </bottom>
      <diagonal/>
    </border>
    <border>
      <left style="hair">
        <color rgb="FF0070C0"/>
      </left>
      <right style="hair">
        <color rgb="FF0070C0"/>
      </right>
      <top/>
      <bottom style="medium">
        <color rgb="FF0070C0"/>
      </bottom>
      <diagonal/>
    </border>
    <border>
      <left style="hair">
        <color rgb="FF0070C0"/>
      </left>
      <right style="medium">
        <color rgb="FF0070C0"/>
      </right>
      <top/>
      <bottom style="medium">
        <color rgb="FF0070C0"/>
      </bottom>
      <diagonal/>
    </border>
    <border>
      <left style="medium">
        <color rgb="FF0070C0"/>
      </left>
      <right/>
      <top style="medium">
        <color rgb="FF0070C0"/>
      </top>
      <bottom style="medium">
        <color rgb="FF0070C0"/>
      </bottom>
      <diagonal/>
    </border>
    <border>
      <left/>
      <right/>
      <top style="medium">
        <color rgb="FF0070C0"/>
      </top>
      <bottom style="medium">
        <color rgb="FF0070C0"/>
      </bottom>
      <diagonal/>
    </border>
    <border>
      <left/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rgb="FF0070C0"/>
      </left>
      <right style="hair">
        <color rgb="FF0070C0"/>
      </right>
      <top style="hair">
        <color rgb="FF0070C0"/>
      </top>
      <bottom style="hair">
        <color rgb="FF0070C0"/>
      </bottom>
      <diagonal/>
    </border>
    <border>
      <left style="hair">
        <color rgb="FF0070C0"/>
      </left>
      <right style="hair">
        <color rgb="FF0070C0"/>
      </right>
      <top style="hair">
        <color rgb="FF0070C0"/>
      </top>
      <bottom style="hair">
        <color rgb="FF0070C0"/>
      </bottom>
      <diagonal/>
    </border>
    <border>
      <left style="hair">
        <color rgb="FF0070C0"/>
      </left>
      <right style="medium">
        <color rgb="FF0070C0"/>
      </right>
      <top style="hair">
        <color rgb="FF0070C0"/>
      </top>
      <bottom style="hair">
        <color rgb="FF0070C0"/>
      </bottom>
      <diagonal/>
    </border>
    <border>
      <left style="medium">
        <color rgb="FF0070C0"/>
      </left>
      <right style="thin">
        <color rgb="FF0070C0"/>
      </right>
      <top style="medium">
        <color rgb="FF0070C0"/>
      </top>
      <bottom/>
      <diagonal/>
    </border>
    <border>
      <left style="thin">
        <color rgb="FF0070C0"/>
      </left>
      <right style="thin">
        <color rgb="FF0070C0"/>
      </right>
      <top style="medium">
        <color rgb="FF0070C0"/>
      </top>
      <bottom/>
      <diagonal/>
    </border>
    <border>
      <left style="thin">
        <color rgb="FF0070C0"/>
      </left>
      <right style="medium">
        <color rgb="FF0070C0"/>
      </right>
      <top style="medium">
        <color rgb="FF0070C0"/>
      </top>
      <bottom/>
      <diagonal/>
    </border>
    <border>
      <left style="medium">
        <color rgb="FF0070C0"/>
      </left>
      <right style="hair">
        <color rgb="FF0070C0"/>
      </right>
      <top style="medium">
        <color rgb="FF0070C0"/>
      </top>
      <bottom style="hair">
        <color rgb="FF0070C0"/>
      </bottom>
      <diagonal/>
    </border>
    <border>
      <left style="hair">
        <color rgb="FF0070C0"/>
      </left>
      <right style="hair">
        <color rgb="FF0070C0"/>
      </right>
      <top style="medium">
        <color rgb="FF0070C0"/>
      </top>
      <bottom style="hair">
        <color rgb="FF0070C0"/>
      </bottom>
      <diagonal/>
    </border>
    <border>
      <left style="hair">
        <color rgb="FF0070C0"/>
      </left>
      <right style="medium">
        <color rgb="FF0070C0"/>
      </right>
      <top style="medium">
        <color rgb="FF0070C0"/>
      </top>
      <bottom style="hair">
        <color rgb="FF0070C0"/>
      </bottom>
      <diagonal/>
    </border>
    <border>
      <left style="medium">
        <color rgb="FF0070C0"/>
      </left>
      <right style="hair">
        <color rgb="FF0070C0"/>
      </right>
      <top style="hair">
        <color rgb="FF0070C0"/>
      </top>
      <bottom style="medium">
        <color rgb="FF0070C0"/>
      </bottom>
      <diagonal/>
    </border>
    <border>
      <left style="hair">
        <color rgb="FF0070C0"/>
      </left>
      <right style="hair">
        <color rgb="FF0070C0"/>
      </right>
      <top style="hair">
        <color rgb="FF0070C0"/>
      </top>
      <bottom style="medium">
        <color rgb="FF0070C0"/>
      </bottom>
      <diagonal/>
    </border>
    <border>
      <left style="hair">
        <color rgb="FF0070C0"/>
      </left>
      <right style="medium">
        <color rgb="FF0070C0"/>
      </right>
      <top style="hair">
        <color rgb="FF0070C0"/>
      </top>
      <bottom style="medium">
        <color rgb="FF0070C0"/>
      </bottom>
      <diagonal/>
    </border>
    <border>
      <left style="medium">
        <color rgb="FF0070C0"/>
      </left>
      <right style="hair">
        <color rgb="FF0070C0"/>
      </right>
      <top style="medium">
        <color rgb="FF0070C0"/>
      </top>
      <bottom style="thin">
        <color rgb="FF0070C0"/>
      </bottom>
      <diagonal/>
    </border>
    <border>
      <left style="hair">
        <color rgb="FF0070C0"/>
      </left>
      <right style="medium">
        <color rgb="FF0070C0"/>
      </right>
      <top style="medium">
        <color rgb="FF0070C0"/>
      </top>
      <bottom style="thin">
        <color rgb="FF0070C0"/>
      </bottom>
      <diagonal/>
    </border>
    <border>
      <left style="hair">
        <color rgb="FF0070C0"/>
      </left>
      <right style="medium">
        <color rgb="FF0070C0"/>
      </right>
      <top style="thin">
        <color rgb="FF0070C0"/>
      </top>
      <bottom style="thin">
        <color rgb="FF0070C0"/>
      </bottom>
      <diagonal/>
    </border>
    <border>
      <left style="medium">
        <color rgb="FF0070C0"/>
      </left>
      <right style="hair">
        <color rgb="FF0070C0"/>
      </right>
      <top style="thin">
        <color rgb="FF0070C0"/>
      </top>
      <bottom style="medium">
        <color rgb="FF0070C0"/>
      </bottom>
      <diagonal/>
    </border>
    <border>
      <left style="hair">
        <color rgb="FF0070C0"/>
      </left>
      <right style="medium">
        <color rgb="FF0070C0"/>
      </right>
      <top style="thin">
        <color rgb="FF0070C0"/>
      </top>
      <bottom style="medium">
        <color rgb="FF0070C0"/>
      </bottom>
      <diagonal/>
    </border>
    <border>
      <left style="medium">
        <color rgb="FF0070C0"/>
      </left>
      <right style="thin">
        <color rgb="FF0070C0"/>
      </right>
      <top style="medium">
        <color rgb="FF0070C0"/>
      </top>
      <bottom style="medium">
        <color rgb="FF0070C0"/>
      </bottom>
      <diagonal/>
    </border>
    <border>
      <left style="thin">
        <color rgb="FF0070C0"/>
      </left>
      <right style="thin">
        <color rgb="FF0070C0"/>
      </right>
      <top style="medium">
        <color rgb="FF0070C0"/>
      </top>
      <bottom style="medium">
        <color rgb="FF0070C0"/>
      </bottom>
      <diagonal/>
    </border>
    <border>
      <left style="thin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rgb="FF0070C0"/>
      </left>
      <right style="hair">
        <color rgb="FF0070C0"/>
      </right>
      <top style="medium">
        <color rgb="FF0070C0"/>
      </top>
      <bottom/>
      <diagonal/>
    </border>
    <border>
      <left style="hair">
        <color rgb="FF0070C0"/>
      </left>
      <right style="hair">
        <color rgb="FF0070C0"/>
      </right>
      <top style="medium">
        <color rgb="FF0070C0"/>
      </top>
      <bottom/>
      <diagonal/>
    </border>
    <border>
      <left style="hair">
        <color rgb="FF0070C0"/>
      </left>
      <right style="medium">
        <color rgb="FF0070C0"/>
      </right>
      <top style="medium">
        <color rgb="FF0070C0"/>
      </top>
      <bottom/>
      <diagonal/>
    </border>
    <border>
      <left style="medium">
        <color rgb="FF0070C0"/>
      </left>
      <right style="hair">
        <color rgb="FF0070C0"/>
      </right>
      <top/>
      <bottom style="thin">
        <color rgb="FF0070C0"/>
      </bottom>
      <diagonal/>
    </border>
    <border>
      <left style="hair">
        <color rgb="FF0070C0"/>
      </left>
      <right style="hair">
        <color rgb="FF0070C0"/>
      </right>
      <top/>
      <bottom style="thin">
        <color rgb="FF0070C0"/>
      </bottom>
      <diagonal/>
    </border>
    <border>
      <left style="hair">
        <color rgb="FF0070C0"/>
      </left>
      <right style="medium">
        <color rgb="FF0070C0"/>
      </right>
      <top/>
      <bottom style="thin">
        <color rgb="FF0070C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6" borderId="11">
      <alignment horizontal="right"/>
    </xf>
    <xf numFmtId="0" fontId="1" fillId="7" borderId="10">
      <alignment horizontal="left"/>
    </xf>
    <xf numFmtId="0" fontId="8" fillId="0" borderId="0" applyNumberFormat="0" applyFill="0" applyBorder="0" applyAlignment="0" applyProtection="0"/>
  </cellStyleXfs>
  <cellXfs count="118">
    <xf numFmtId="0" fontId="0" fillId="0" borderId="0" xfId="0"/>
    <xf numFmtId="0" fontId="0" fillId="2" borderId="0" xfId="0" applyFill="1"/>
    <xf numFmtId="0" fontId="0" fillId="5" borderId="0" xfId="0" applyFill="1"/>
    <xf numFmtId="0" fontId="0" fillId="3" borderId="0" xfId="0" applyFill="1" applyAlignment="1"/>
    <xf numFmtId="0" fontId="0" fillId="4" borderId="0" xfId="0" applyFill="1" applyAlignment="1"/>
    <xf numFmtId="0" fontId="0" fillId="6" borderId="0" xfId="0" applyFill="1"/>
    <xf numFmtId="0" fontId="4" fillId="4" borderId="0" xfId="0" applyFont="1" applyFill="1" applyAlignment="1">
      <alignment horizontal="right"/>
    </xf>
    <xf numFmtId="0" fontId="4" fillId="7" borderId="0" xfId="0" applyFont="1" applyFill="1" applyAlignment="1">
      <alignment horizontal="left"/>
    </xf>
    <xf numFmtId="0" fontId="4" fillId="4" borderId="0" xfId="0" applyFont="1" applyFill="1" applyAlignment="1"/>
    <xf numFmtId="0" fontId="4" fillId="4" borderId="2" xfId="0" applyFont="1" applyFill="1" applyBorder="1" applyAlignment="1">
      <alignment horizontal="right"/>
    </xf>
    <xf numFmtId="0" fontId="0" fillId="6" borderId="4" xfId="0" applyFill="1" applyBorder="1"/>
    <xf numFmtId="0" fontId="0" fillId="6" borderId="5" xfId="0" applyFill="1" applyBorder="1"/>
    <xf numFmtId="0" fontId="0" fillId="6" borderId="0" xfId="0" applyFill="1" applyBorder="1"/>
    <xf numFmtId="0" fontId="0" fillId="6" borderId="6" xfId="0" applyFill="1" applyBorder="1"/>
    <xf numFmtId="0" fontId="0" fillId="6" borderId="7" xfId="0" applyFill="1" applyBorder="1"/>
    <xf numFmtId="0" fontId="0" fillId="6" borderId="8" xfId="0" applyFill="1" applyBorder="1"/>
    <xf numFmtId="0" fontId="0" fillId="6" borderId="9" xfId="0" applyFill="1" applyBorder="1"/>
    <xf numFmtId="0" fontId="0" fillId="7" borderId="12" xfId="0" applyFill="1" applyBorder="1" applyAlignment="1">
      <alignment horizontal="left"/>
    </xf>
    <xf numFmtId="0" fontId="0" fillId="7" borderId="10" xfId="0" applyFill="1" applyBorder="1" applyAlignment="1">
      <alignment horizontal="left"/>
    </xf>
    <xf numFmtId="0" fontId="5" fillId="6" borderId="13" xfId="0" applyFont="1" applyFill="1" applyBorder="1" applyAlignment="1">
      <alignment horizontal="right"/>
    </xf>
    <xf numFmtId="0" fontId="5" fillId="6" borderId="5" xfId="0" applyFont="1" applyFill="1" applyBorder="1"/>
    <xf numFmtId="0" fontId="5" fillId="6" borderId="11" xfId="0" applyFont="1" applyFill="1" applyBorder="1" applyAlignment="1">
      <alignment horizontal="right"/>
    </xf>
    <xf numFmtId="0" fontId="5" fillId="6" borderId="0" xfId="0" applyFont="1" applyFill="1" applyBorder="1"/>
    <xf numFmtId="0" fontId="1" fillId="7" borderId="10" xfId="2">
      <alignment horizontal="left"/>
    </xf>
    <xf numFmtId="0" fontId="1" fillId="6" borderId="11" xfId="1">
      <alignment horizontal="right"/>
    </xf>
    <xf numFmtId="0" fontId="1" fillId="6" borderId="16" xfId="1" applyBorder="1">
      <alignment horizontal="right"/>
    </xf>
    <xf numFmtId="0" fontId="1" fillId="7" borderId="17" xfId="2" applyBorder="1">
      <alignment horizontal="left"/>
    </xf>
    <xf numFmtId="0" fontId="2" fillId="4" borderId="18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9" xfId="0" applyFont="1" applyFill="1" applyBorder="1" applyAlignment="1">
      <alignment horizontal="center"/>
    </xf>
    <xf numFmtId="0" fontId="0" fillId="7" borderId="20" xfId="0" applyFill="1" applyBorder="1"/>
    <xf numFmtId="0" fontId="0" fillId="7" borderId="21" xfId="0" applyFill="1" applyBorder="1"/>
    <xf numFmtId="0" fontId="0" fillId="7" borderId="22" xfId="0" applyFill="1" applyBorder="1"/>
    <xf numFmtId="0" fontId="0" fillId="7" borderId="23" xfId="0" applyFill="1" applyBorder="1"/>
    <xf numFmtId="0" fontId="0" fillId="7" borderId="24" xfId="0" applyFill="1" applyBorder="1"/>
    <xf numFmtId="0" fontId="0" fillId="7" borderId="25" xfId="0" applyFill="1" applyBorder="1"/>
    <xf numFmtId="0" fontId="0" fillId="6" borderId="26" xfId="0" applyFill="1" applyBorder="1"/>
    <xf numFmtId="0" fontId="0" fillId="6" borderId="27" xfId="0" applyFill="1" applyBorder="1"/>
    <xf numFmtId="0" fontId="2" fillId="9" borderId="28" xfId="0" applyFont="1" applyFill="1" applyBorder="1" applyAlignment="1">
      <alignment horizontal="center"/>
    </xf>
    <xf numFmtId="0" fontId="0" fillId="10" borderId="29" xfId="0" applyFill="1" applyBorder="1"/>
    <xf numFmtId="0" fontId="0" fillId="10" borderId="30" xfId="0" applyFill="1" applyBorder="1"/>
    <xf numFmtId="0" fontId="0" fillId="6" borderId="6" xfId="0" applyFill="1" applyBorder="1" applyAlignment="1"/>
    <xf numFmtId="0" fontId="0" fillId="7" borderId="38" xfId="0" applyFill="1" applyBorder="1"/>
    <xf numFmtId="0" fontId="0" fillId="7" borderId="39" xfId="0" applyFill="1" applyBorder="1"/>
    <xf numFmtId="0" fontId="0" fillId="7" borderId="40" xfId="0" applyFill="1" applyBorder="1"/>
    <xf numFmtId="0" fontId="0" fillId="7" borderId="41" xfId="0" applyFill="1" applyBorder="1"/>
    <xf numFmtId="0" fontId="0" fillId="7" borderId="42" xfId="0" applyFill="1" applyBorder="1"/>
    <xf numFmtId="0" fontId="2" fillId="5" borderId="35" xfId="0" applyFont="1" applyFill="1" applyBorder="1" applyAlignment="1">
      <alignment horizontal="center"/>
    </xf>
    <xf numFmtId="0" fontId="2" fillId="5" borderId="36" xfId="0" applyFont="1" applyFill="1" applyBorder="1" applyAlignment="1">
      <alignment horizontal="center"/>
    </xf>
    <xf numFmtId="0" fontId="2" fillId="5" borderId="37" xfId="0" applyFont="1" applyFill="1" applyBorder="1" applyAlignment="1">
      <alignment horizontal="center"/>
    </xf>
    <xf numFmtId="0" fontId="0" fillId="8" borderId="3" xfId="0" applyFill="1" applyBorder="1" applyAlignment="1">
      <alignment horizontal="center" vertical="center"/>
    </xf>
    <xf numFmtId="18" fontId="0" fillId="0" borderId="0" xfId="0" applyNumberFormat="1"/>
    <xf numFmtId="0" fontId="0" fillId="7" borderId="47" xfId="0" applyFill="1" applyBorder="1"/>
    <xf numFmtId="164" fontId="0" fillId="7" borderId="47" xfId="0" applyNumberFormat="1" applyFill="1" applyBorder="1" applyAlignment="1">
      <alignment horizontal="center"/>
    </xf>
    <xf numFmtId="0" fontId="0" fillId="5" borderId="49" xfId="0" applyFill="1" applyBorder="1" applyAlignment="1">
      <alignment horizontal="center"/>
    </xf>
    <xf numFmtId="0" fontId="0" fillId="5" borderId="50" xfId="0" applyFill="1" applyBorder="1" applyAlignment="1">
      <alignment horizontal="center"/>
    </xf>
    <xf numFmtId="0" fontId="0" fillId="5" borderId="51" xfId="0" applyFill="1" applyBorder="1" applyAlignment="1">
      <alignment horizontal="center"/>
    </xf>
    <xf numFmtId="0" fontId="0" fillId="7" borderId="53" xfId="0" applyFill="1" applyBorder="1"/>
    <xf numFmtId="164" fontId="0" fillId="7" borderId="53" xfId="0" applyNumberFormat="1" applyFill="1" applyBorder="1" applyAlignment="1">
      <alignment horizontal="center"/>
    </xf>
    <xf numFmtId="0" fontId="0" fillId="7" borderId="56" xfId="0" applyFill="1" applyBorder="1"/>
    <xf numFmtId="164" fontId="0" fillId="7" borderId="56" xfId="0" applyNumberFormat="1" applyFill="1" applyBorder="1" applyAlignment="1">
      <alignment horizontal="center"/>
    </xf>
    <xf numFmtId="0" fontId="0" fillId="6" borderId="52" xfId="0" applyFill="1" applyBorder="1" applyAlignment="1">
      <alignment horizontal="right"/>
    </xf>
    <xf numFmtId="0" fontId="0" fillId="6" borderId="46" xfId="0" applyFill="1" applyBorder="1" applyAlignment="1">
      <alignment horizontal="right"/>
    </xf>
    <xf numFmtId="0" fontId="0" fillId="6" borderId="55" xfId="0" applyFill="1" applyBorder="1" applyAlignment="1">
      <alignment horizontal="right"/>
    </xf>
    <xf numFmtId="0" fontId="0" fillId="7" borderId="53" xfId="0" applyFill="1" applyBorder="1" applyAlignment="1">
      <alignment horizontal="center"/>
    </xf>
    <xf numFmtId="2" fontId="0" fillId="6" borderId="54" xfId="0" applyNumberFormat="1" applyFill="1" applyBorder="1" applyAlignment="1">
      <alignment horizontal="center"/>
    </xf>
    <xf numFmtId="0" fontId="0" fillId="7" borderId="47" xfId="0" applyFill="1" applyBorder="1" applyAlignment="1">
      <alignment horizontal="center"/>
    </xf>
    <xf numFmtId="2" fontId="0" fillId="6" borderId="48" xfId="0" applyNumberFormat="1" applyFill="1" applyBorder="1" applyAlignment="1">
      <alignment horizontal="center"/>
    </xf>
    <xf numFmtId="0" fontId="0" fillId="7" borderId="56" xfId="0" applyFill="1" applyBorder="1" applyAlignment="1">
      <alignment horizontal="center"/>
    </xf>
    <xf numFmtId="2" fontId="0" fillId="6" borderId="57" xfId="0" applyNumberFormat="1" applyFill="1" applyBorder="1" applyAlignment="1">
      <alignment horizontal="center"/>
    </xf>
    <xf numFmtId="0" fontId="0" fillId="11" borderId="58" xfId="0" applyFill="1" applyBorder="1" applyAlignment="1">
      <alignment horizontal="right"/>
    </xf>
    <xf numFmtId="0" fontId="0" fillId="11" borderId="13" xfId="0" applyFill="1" applyBorder="1" applyAlignment="1">
      <alignment horizontal="right"/>
    </xf>
    <xf numFmtId="0" fontId="0" fillId="11" borderId="60" xfId="0" applyFill="1" applyBorder="1"/>
    <xf numFmtId="0" fontId="0" fillId="11" borderId="61" xfId="0" applyFill="1" applyBorder="1" applyAlignment="1">
      <alignment horizontal="right"/>
    </xf>
    <xf numFmtId="2" fontId="0" fillId="11" borderId="59" xfId="0" applyNumberFormat="1" applyFill="1" applyBorder="1"/>
    <xf numFmtId="2" fontId="0" fillId="11" borderId="62" xfId="0" applyNumberFormat="1" applyFill="1" applyBorder="1"/>
    <xf numFmtId="0" fontId="0" fillId="5" borderId="63" xfId="0" applyFill="1" applyBorder="1" applyAlignment="1">
      <alignment horizontal="center"/>
    </xf>
    <xf numFmtId="0" fontId="0" fillId="5" borderId="64" xfId="0" applyFill="1" applyBorder="1" applyAlignment="1">
      <alignment horizontal="center"/>
    </xf>
    <xf numFmtId="0" fontId="0" fillId="5" borderId="65" xfId="0" applyFill="1" applyBorder="1" applyAlignment="1">
      <alignment horizontal="center"/>
    </xf>
    <xf numFmtId="0" fontId="0" fillId="7" borderId="66" xfId="0" applyFill="1" applyBorder="1"/>
    <xf numFmtId="0" fontId="0" fillId="7" borderId="67" xfId="0" applyFill="1" applyBorder="1"/>
    <xf numFmtId="0" fontId="0" fillId="6" borderId="67" xfId="0" applyFill="1" applyBorder="1"/>
    <xf numFmtId="0" fontId="0" fillId="6" borderId="68" xfId="0" applyFill="1" applyBorder="1"/>
    <xf numFmtId="0" fontId="0" fillId="6" borderId="24" xfId="0" applyFill="1" applyBorder="1"/>
    <xf numFmtId="0" fontId="0" fillId="6" borderId="25" xfId="0" applyFill="1" applyBorder="1"/>
    <xf numFmtId="0" fontId="0" fillId="7" borderId="69" xfId="0" applyFill="1" applyBorder="1"/>
    <xf numFmtId="0" fontId="0" fillId="7" borderId="70" xfId="0" applyFill="1" applyBorder="1"/>
    <xf numFmtId="0" fontId="0" fillId="6" borderId="70" xfId="0" applyFill="1" applyBorder="1"/>
    <xf numFmtId="0" fontId="0" fillId="6" borderId="71" xfId="0" applyFill="1" applyBorder="1"/>
    <xf numFmtId="0" fontId="1" fillId="6" borderId="13" xfId="1" applyBorder="1">
      <alignment horizontal="right"/>
    </xf>
    <xf numFmtId="0" fontId="1" fillId="7" borderId="10" xfId="2" applyBorder="1">
      <alignment horizontal="left"/>
    </xf>
    <xf numFmtId="0" fontId="1" fillId="6" borderId="11" xfId="1" applyBorder="1">
      <alignment horizontal="right"/>
    </xf>
    <xf numFmtId="0" fontId="1" fillId="7" borderId="60" xfId="2" applyBorder="1">
      <alignment horizontal="left"/>
    </xf>
    <xf numFmtId="0" fontId="1" fillId="6" borderId="10" xfId="2" applyFill="1" applyBorder="1">
      <alignment horizontal="left"/>
    </xf>
    <xf numFmtId="0" fontId="1" fillId="6" borderId="60" xfId="2" applyFill="1" applyBorder="1">
      <alignment horizontal="left"/>
    </xf>
    <xf numFmtId="0" fontId="0" fillId="4" borderId="43" xfId="0" applyFill="1" applyBorder="1" applyAlignment="1">
      <alignment horizontal="center"/>
    </xf>
    <xf numFmtId="0" fontId="0" fillId="4" borderId="44" xfId="0" applyFill="1" applyBorder="1" applyAlignment="1">
      <alignment horizontal="center"/>
    </xf>
    <xf numFmtId="0" fontId="0" fillId="4" borderId="45" xfId="0" applyFill="1" applyBorder="1" applyAlignment="1">
      <alignment horizontal="center"/>
    </xf>
    <xf numFmtId="0" fontId="3" fillId="3" borderId="0" xfId="0" applyFont="1" applyFill="1" applyAlignment="1">
      <alignment horizontal="center" vertical="center"/>
    </xf>
    <xf numFmtId="0" fontId="0" fillId="7" borderId="12" xfId="0" applyFill="1" applyBorder="1" applyAlignment="1">
      <alignment horizontal="center"/>
    </xf>
    <xf numFmtId="0" fontId="0" fillId="7" borderId="14" xfId="0" applyFill="1" applyBorder="1" applyAlignment="1">
      <alignment horizontal="center"/>
    </xf>
    <xf numFmtId="0" fontId="0" fillId="7" borderId="15" xfId="0" applyFill="1" applyBorder="1" applyAlignment="1">
      <alignment horizontal="center"/>
    </xf>
    <xf numFmtId="0" fontId="4" fillId="7" borderId="31" xfId="0" applyFont="1" applyFill="1" applyBorder="1" applyAlignment="1">
      <alignment horizontal="left"/>
    </xf>
    <xf numFmtId="0" fontId="4" fillId="7" borderId="15" xfId="0" applyFont="1" applyFill="1" applyBorder="1" applyAlignment="1">
      <alignment horizontal="left"/>
    </xf>
    <xf numFmtId="0" fontId="2" fillId="4" borderId="32" xfId="0" applyFont="1" applyFill="1" applyBorder="1" applyAlignment="1">
      <alignment horizontal="center"/>
    </xf>
    <xf numFmtId="0" fontId="2" fillId="4" borderId="33" xfId="0" applyFont="1" applyFill="1" applyBorder="1" applyAlignment="1">
      <alignment horizontal="center"/>
    </xf>
    <xf numFmtId="0" fontId="2" fillId="4" borderId="34" xfId="0" applyFont="1" applyFill="1" applyBorder="1" applyAlignment="1">
      <alignment horizontal="center"/>
    </xf>
    <xf numFmtId="0" fontId="0" fillId="5" borderId="43" xfId="0" applyFill="1" applyBorder="1" applyAlignment="1">
      <alignment horizontal="center"/>
    </xf>
    <xf numFmtId="0" fontId="0" fillId="5" borderId="44" xfId="0" applyFill="1" applyBorder="1" applyAlignment="1">
      <alignment horizontal="center"/>
    </xf>
    <xf numFmtId="0" fontId="0" fillId="5" borderId="45" xfId="0" applyFill="1" applyBorder="1" applyAlignment="1">
      <alignment horizontal="center"/>
    </xf>
    <xf numFmtId="0" fontId="6" fillId="6" borderId="6" xfId="0" applyFont="1" applyFill="1" applyBorder="1"/>
    <xf numFmtId="0" fontId="0" fillId="12" borderId="0" xfId="0" applyFill="1"/>
    <xf numFmtId="0" fontId="7" fillId="11" borderId="0" xfId="0" applyFont="1" applyFill="1" applyAlignment="1">
      <alignment horizontal="center"/>
    </xf>
    <xf numFmtId="0" fontId="8" fillId="0" borderId="0" xfId="3"/>
    <xf numFmtId="14" fontId="0" fillId="0" borderId="0" xfId="0" applyNumberFormat="1"/>
    <xf numFmtId="0" fontId="0" fillId="0" borderId="0" xfId="0" quotePrefix="1"/>
    <xf numFmtId="0" fontId="0" fillId="13" borderId="72" xfId="0" applyFill="1" applyBorder="1"/>
    <xf numFmtId="14" fontId="1" fillId="7" borderId="10" xfId="2" applyNumberFormat="1">
      <alignment horizontal="left"/>
    </xf>
  </cellXfs>
  <cellStyles count="4">
    <cellStyle name="FeildLabel" xfId="1"/>
    <cellStyle name="Field" xfId="2"/>
    <cellStyle name="Hyperlink" xfId="3" builtinId="8"/>
    <cellStyle name="Normal" xfId="0" builtinId="0"/>
  </cellStyles>
  <dxfs count="14">
    <dxf>
      <fill>
        <patternFill>
          <bgColor theme="4" tint="0.59996337778862885"/>
        </patternFill>
      </fill>
    </dxf>
    <dxf>
      <fill>
        <gradientFill degree="90">
          <stop position="0">
            <color rgb="FFE8E8E8"/>
          </stop>
          <stop position="1">
            <color rgb="FFE8E8E8"/>
          </stop>
        </gradientFill>
      </fill>
    </dxf>
    <dxf>
      <fill>
        <patternFill>
          <bgColor theme="0" tint="-0.34998626667073579"/>
        </patternFill>
      </fill>
    </dxf>
    <dxf>
      <fill>
        <gradientFill degree="90">
          <stop position="0">
            <color rgb="FFE8E8E8"/>
          </stop>
          <stop position="1">
            <color rgb="FFE8E8E8"/>
          </stop>
        </gradientFill>
      </fill>
    </dxf>
    <dxf>
      <fill>
        <gradientFill degree="90">
          <stop position="0">
            <color rgb="FFE8E8E8"/>
          </stop>
          <stop position="1">
            <color rgb="FFE8E8E8"/>
          </stop>
        </gradientFill>
      </fill>
    </dxf>
    <dxf>
      <fill>
        <gradientFill degree="90">
          <stop position="0">
            <color rgb="FFE8E8E8"/>
          </stop>
          <stop position="1">
            <color rgb="FFE8E8E8"/>
          </stop>
        </gradientFill>
      </fill>
    </dxf>
    <dxf>
      <fill>
        <gradientFill degree="90">
          <stop position="0">
            <color rgb="FFE8E8E8"/>
          </stop>
          <stop position="1">
            <color rgb="FFE8E8E8"/>
          </stop>
        </gradientFill>
      </fill>
    </dxf>
    <dxf>
      <font>
        <b/>
        <i val="0"/>
        <color rgb="FF0070C0"/>
      </font>
      <fill>
        <gradientFill>
          <stop position="0">
            <color theme="4" tint="0.59999389629810485"/>
          </stop>
          <stop position="1">
            <color theme="4" tint="0.80001220740379042"/>
          </stop>
        </gradientFill>
      </fill>
      <border>
        <right/>
        <vertical/>
        <horizontal/>
      </border>
    </dxf>
    <dxf>
      <font>
        <b/>
        <i val="0"/>
        <color rgb="FF0070C0"/>
      </font>
      <fill>
        <gradientFill>
          <stop position="0">
            <color theme="4" tint="0.59999389629810485"/>
          </stop>
          <stop position="1">
            <color theme="4" tint="0.80001220740379042"/>
          </stop>
        </gradientFill>
      </fill>
      <border>
        <right/>
        <vertical/>
        <horizontal/>
      </border>
    </dxf>
    <dxf>
      <font>
        <b/>
        <i val="0"/>
        <color rgb="FF0070C0"/>
      </font>
      <fill>
        <gradientFill>
          <stop position="0">
            <color theme="4" tint="0.59999389629810485"/>
          </stop>
          <stop position="1">
            <color theme="4" tint="0.80001220740379042"/>
          </stop>
        </gradientFill>
      </fill>
      <border>
        <right/>
        <vertical/>
        <horizontal/>
      </border>
    </dxf>
    <dxf>
      <font>
        <b/>
        <i val="0"/>
        <color rgb="FF0070C0"/>
      </font>
      <fill>
        <gradientFill>
          <stop position="0">
            <color theme="4" tint="0.59999389629810485"/>
          </stop>
          <stop position="1">
            <color theme="4" tint="0.80001220740379042"/>
          </stop>
        </gradientFill>
      </fill>
      <border>
        <right/>
        <vertical/>
        <horizontal/>
      </border>
    </dxf>
    <dxf>
      <fill>
        <patternFill>
          <bgColor rgb="FFE8E8E8"/>
        </patternFill>
      </fill>
    </dxf>
    <dxf>
      <fill>
        <patternFill>
          <bgColor rgb="FFE8E8E8"/>
        </patternFill>
      </fill>
    </dxf>
    <dxf>
      <font>
        <b/>
        <i val="0"/>
        <color rgb="FF0070C0"/>
      </font>
      <fill>
        <gradientFill degree="90">
          <stop position="0">
            <color theme="4" tint="0.59999389629810485"/>
          </stop>
          <stop position="1">
            <color theme="4" tint="0.80001220740379042"/>
          </stop>
        </gradientFill>
      </fill>
      <border>
        <bottom/>
      </border>
    </dxf>
  </dxfs>
  <tableStyles count="0" defaultTableStyle="TableStyleMedium2" defaultPivotStyle="PivotStyleLight16"/>
  <colors>
    <mruColors>
      <color rgb="FFE8E8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jpg"/><Relationship Id="rId7" Type="http://schemas.openxmlformats.org/officeDocument/2006/relationships/image" Target="../media/image7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695325</xdr:colOff>
      <xdr:row>4</xdr:row>
      <xdr:rowOff>133350</xdr:rowOff>
    </xdr:from>
    <xdr:to>
      <xdr:col>9</xdr:col>
      <xdr:colOff>647701</xdr:colOff>
      <xdr:row>11</xdr:row>
      <xdr:rowOff>114300</xdr:rowOff>
    </xdr:to>
    <xdr:pic>
      <xdr:nvPicPr>
        <xdr:cNvPr id="2" name="DefaultPicture" hidden="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49" t="704" r="725" b="2113"/>
        <a:stretch/>
      </xdr:blipFill>
      <xdr:spPr>
        <a:xfrm>
          <a:off x="8867775" y="1247775"/>
          <a:ext cx="1285876" cy="1314450"/>
        </a:xfrm>
        <a:prstGeom prst="rect">
          <a:avLst/>
        </a:prstGeom>
      </xdr:spPr>
    </xdr:pic>
    <xdr:clientData/>
  </xdr:twoCellAnchor>
  <xdr:twoCellAnchor editAs="oneCell">
    <xdr:from>
      <xdr:col>4</xdr:col>
      <xdr:colOff>1228724</xdr:colOff>
      <xdr:row>0</xdr:row>
      <xdr:rowOff>50006</xdr:rowOff>
    </xdr:from>
    <xdr:to>
      <xdr:col>5</xdr:col>
      <xdr:colOff>85724</xdr:colOff>
      <xdr:row>0</xdr:row>
      <xdr:rowOff>471488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33824" y="50006"/>
          <a:ext cx="561975" cy="421482"/>
        </a:xfrm>
        <a:prstGeom prst="rect">
          <a:avLst/>
        </a:prstGeom>
      </xdr:spPr>
    </xdr:pic>
    <xdr:clientData/>
  </xdr:twoCellAnchor>
  <xdr:twoCellAnchor>
    <xdr:from>
      <xdr:col>8</xdr:col>
      <xdr:colOff>619125</xdr:colOff>
      <xdr:row>4</xdr:row>
      <xdr:rowOff>114299</xdr:rowOff>
    </xdr:from>
    <xdr:to>
      <xdr:col>9</xdr:col>
      <xdr:colOff>914400</xdr:colOff>
      <xdr:row>12</xdr:row>
      <xdr:rowOff>144779</xdr:rowOff>
    </xdr:to>
    <xdr:sp macro="" textlink="">
      <xdr:nvSpPr>
        <xdr:cNvPr id="5" name="Rectangle 4"/>
        <xdr:cNvSpPr/>
      </xdr:nvSpPr>
      <xdr:spPr>
        <a:xfrm>
          <a:off x="8791575" y="1228724"/>
          <a:ext cx="1628775" cy="1554480"/>
        </a:xfrm>
        <a:prstGeom prst="rect">
          <a:avLst/>
        </a:prstGeom>
        <a:noFill/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8</xdr:col>
      <xdr:colOff>628650</xdr:colOff>
      <xdr:row>4</xdr:row>
      <xdr:rowOff>114300</xdr:rowOff>
    </xdr:from>
    <xdr:to>
      <xdr:col>9</xdr:col>
      <xdr:colOff>895350</xdr:colOff>
      <xdr:row>11</xdr:row>
      <xdr:rowOff>95250</xdr:rowOff>
    </xdr:to>
    <xdr:pic>
      <xdr:nvPicPr>
        <xdr:cNvPr id="10" name="DefaultPic" hidden="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1100" y="1228725"/>
          <a:ext cx="1600200" cy="1314450"/>
        </a:xfrm>
        <a:prstGeom prst="rect">
          <a:avLst/>
        </a:prstGeom>
      </xdr:spPr>
    </xdr:pic>
    <xdr:clientData/>
  </xdr:twoCellAnchor>
  <xdr:twoCellAnchor>
    <xdr:from>
      <xdr:col>8</xdr:col>
      <xdr:colOff>619125</xdr:colOff>
      <xdr:row>11</xdr:row>
      <xdr:rowOff>114299</xdr:rowOff>
    </xdr:from>
    <xdr:to>
      <xdr:col>9</xdr:col>
      <xdr:colOff>914400</xdr:colOff>
      <xdr:row>12</xdr:row>
      <xdr:rowOff>144778</xdr:rowOff>
    </xdr:to>
    <xdr:grpSp>
      <xdr:nvGrpSpPr>
        <xdr:cNvPr id="12" name="Group 11"/>
        <xdr:cNvGrpSpPr/>
      </xdr:nvGrpSpPr>
      <xdr:grpSpPr>
        <a:xfrm>
          <a:off x="8953500" y="2562224"/>
          <a:ext cx="1628775" cy="220979"/>
          <a:chOff x="8791575" y="2562224"/>
          <a:chExt cx="1628775" cy="220979"/>
        </a:xfrm>
      </xdr:grpSpPr>
      <xdr:sp macro="[0]!Cont_AttachThum" textlink="">
        <xdr:nvSpPr>
          <xdr:cNvPr id="9" name="Rectangle 8"/>
          <xdr:cNvSpPr/>
        </xdr:nvSpPr>
        <xdr:spPr>
          <a:xfrm>
            <a:off x="8791575" y="2562224"/>
            <a:ext cx="1628775" cy="220979"/>
          </a:xfrm>
          <a:prstGeom prst="rect">
            <a:avLst/>
          </a:prstGeom>
          <a:noFill/>
          <a:ln w="190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>
                <a:solidFill>
                  <a:schemeClr val="accent1"/>
                </a:solidFill>
              </a:rPr>
              <a:t>Add Picture</a:t>
            </a:r>
          </a:p>
        </xdr:txBody>
      </xdr:sp>
      <xdr:pic macro="[0]!Cont_AttachThum">
        <xdr:nvPicPr>
          <xdr:cNvPr id="11" name="Picture 10"/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972549" y="2581274"/>
            <a:ext cx="180975" cy="180975"/>
          </a:xfrm>
          <a:prstGeom prst="rect">
            <a:avLst/>
          </a:prstGeom>
        </xdr:spPr>
      </xdr:pic>
    </xdr:grpSp>
    <xdr:clientData/>
  </xdr:twoCellAnchor>
  <xdr:twoCellAnchor editAs="oneCell">
    <xdr:from>
      <xdr:col>6</xdr:col>
      <xdr:colOff>1304924</xdr:colOff>
      <xdr:row>1</xdr:row>
      <xdr:rowOff>16307</xdr:rowOff>
    </xdr:from>
    <xdr:to>
      <xdr:col>8</xdr:col>
      <xdr:colOff>701038</xdr:colOff>
      <xdr:row>2</xdr:row>
      <xdr:rowOff>21794</xdr:rowOff>
    </xdr:to>
    <xdr:grpSp>
      <xdr:nvGrpSpPr>
        <xdr:cNvPr id="58" name="NewEmpGrp" hidden="1"/>
        <xdr:cNvGrpSpPr/>
      </xdr:nvGrpSpPr>
      <xdr:grpSpPr>
        <a:xfrm>
          <a:off x="7048499" y="511607"/>
          <a:ext cx="1986914" cy="224562"/>
          <a:chOff x="10677524" y="669150"/>
          <a:chExt cx="1986914" cy="224562"/>
        </a:xfrm>
      </xdr:grpSpPr>
      <xdr:grpSp>
        <xdr:nvGrpSpPr>
          <xdr:cNvPr id="54" name="CancelNewBtn" hidden="1"/>
          <xdr:cNvGrpSpPr/>
        </xdr:nvGrpSpPr>
        <xdr:grpSpPr>
          <a:xfrm>
            <a:off x="11658598" y="669150"/>
            <a:ext cx="1005840" cy="224562"/>
            <a:chOff x="8667748" y="638175"/>
            <a:chExt cx="1005840" cy="224562"/>
          </a:xfrm>
        </xdr:grpSpPr>
        <xdr:sp macro="" textlink="">
          <xdr:nvSpPr>
            <xdr:cNvPr id="46" name="Rounded Rectangle 45" hidden="1"/>
            <xdr:cNvSpPr/>
          </xdr:nvSpPr>
          <xdr:spPr>
            <a:xfrm>
              <a:off x="8667748" y="638175"/>
              <a:ext cx="1005840" cy="219075"/>
            </a:xfrm>
            <a:prstGeom prst="round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27432" rtlCol="0" anchor="ctr"/>
            <a:lstStyle/>
            <a:p>
              <a:pPr algn="r"/>
              <a:r>
                <a:rPr lang="en-US" sz="1100"/>
                <a:t>Cancel New</a:t>
              </a:r>
            </a:p>
          </xdr:txBody>
        </xdr:sp>
        <xdr:pic>
          <xdr:nvPicPr>
            <xdr:cNvPr id="41" name="Picture 40" hidden="1"/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701050" y="652425"/>
              <a:ext cx="210312" cy="210312"/>
            </a:xfrm>
            <a:prstGeom prst="rect">
              <a:avLst/>
            </a:prstGeom>
          </xdr:spPr>
        </xdr:pic>
      </xdr:grpSp>
      <xdr:grpSp>
        <xdr:nvGrpSpPr>
          <xdr:cNvPr id="55" name="SaveNewBtn" hidden="1"/>
          <xdr:cNvGrpSpPr/>
        </xdr:nvGrpSpPr>
        <xdr:grpSpPr>
          <a:xfrm>
            <a:off x="10677524" y="671513"/>
            <a:ext cx="923925" cy="219837"/>
            <a:chOff x="10410824" y="695325"/>
            <a:chExt cx="923925" cy="219837"/>
          </a:xfrm>
        </xdr:grpSpPr>
        <xdr:sp macro="" textlink="">
          <xdr:nvSpPr>
            <xdr:cNvPr id="49" name="Rounded Rectangle 48" hidden="1"/>
            <xdr:cNvSpPr/>
          </xdr:nvSpPr>
          <xdr:spPr>
            <a:xfrm>
              <a:off x="10410824" y="695325"/>
              <a:ext cx="923925" cy="219075"/>
            </a:xfrm>
            <a:prstGeom prst="round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27432" rtlCol="0" anchor="ctr"/>
            <a:lstStyle/>
            <a:p>
              <a:pPr algn="r"/>
              <a:r>
                <a:rPr lang="en-US" sz="1100"/>
                <a:t>Save New</a:t>
              </a:r>
            </a:p>
          </xdr:txBody>
        </xdr:sp>
        <xdr:pic>
          <xdr:nvPicPr>
            <xdr:cNvPr id="39" name="Picture 38" hidden="1"/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477500" y="704850"/>
              <a:ext cx="210312" cy="210312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7</xdr:col>
      <xdr:colOff>142874</xdr:colOff>
      <xdr:row>0</xdr:row>
      <xdr:rowOff>490538</xdr:rowOff>
    </xdr:from>
    <xdr:to>
      <xdr:col>8</xdr:col>
      <xdr:colOff>590546</xdr:colOff>
      <xdr:row>2</xdr:row>
      <xdr:rowOff>42863</xdr:rowOff>
    </xdr:to>
    <xdr:grpSp>
      <xdr:nvGrpSpPr>
        <xdr:cNvPr id="59" name="ExistEmpGrp"/>
        <xdr:cNvGrpSpPr/>
      </xdr:nvGrpSpPr>
      <xdr:grpSpPr>
        <a:xfrm>
          <a:off x="7191374" y="490538"/>
          <a:ext cx="1733547" cy="266700"/>
          <a:chOff x="6896099" y="490538"/>
          <a:chExt cx="1733547" cy="266700"/>
        </a:xfrm>
      </xdr:grpSpPr>
      <xdr:grpSp>
        <xdr:nvGrpSpPr>
          <xdr:cNvPr id="44" name="AddNewBtn"/>
          <xdr:cNvGrpSpPr/>
        </xdr:nvGrpSpPr>
        <xdr:grpSpPr>
          <a:xfrm>
            <a:off x="6896099" y="490538"/>
            <a:ext cx="923925" cy="266700"/>
            <a:chOff x="6896099" y="495300"/>
            <a:chExt cx="923925" cy="266700"/>
          </a:xfrm>
        </xdr:grpSpPr>
        <xdr:sp macro="" textlink="">
          <xdr:nvSpPr>
            <xdr:cNvPr id="43" name="Rounded Rectangle 42"/>
            <xdr:cNvSpPr/>
          </xdr:nvSpPr>
          <xdr:spPr>
            <a:xfrm>
              <a:off x="6896099" y="495300"/>
              <a:ext cx="923925" cy="266700"/>
            </a:xfrm>
            <a:prstGeom prst="round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27432" rtlCol="0" anchor="ctr"/>
            <a:lstStyle/>
            <a:p>
              <a:pPr algn="r"/>
              <a:r>
                <a:rPr lang="en-US" sz="1100"/>
                <a:t>Add New</a:t>
              </a:r>
            </a:p>
          </xdr:txBody>
        </xdr:sp>
        <xdr:pic>
          <xdr:nvPicPr>
            <xdr:cNvPr id="40" name="Picture 39"/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941325" y="531000"/>
              <a:ext cx="210312" cy="210312"/>
            </a:xfrm>
            <a:prstGeom prst="rect">
              <a:avLst/>
            </a:prstGeom>
          </xdr:spPr>
        </xdr:pic>
      </xdr:grpSp>
      <xdr:grpSp>
        <xdr:nvGrpSpPr>
          <xdr:cNvPr id="57" name="DeleteBtn"/>
          <xdr:cNvGrpSpPr/>
        </xdr:nvGrpSpPr>
        <xdr:grpSpPr>
          <a:xfrm>
            <a:off x="7905746" y="491532"/>
            <a:ext cx="723900" cy="264713"/>
            <a:chOff x="10725149" y="1181100"/>
            <a:chExt cx="881673" cy="247650"/>
          </a:xfrm>
        </xdr:grpSpPr>
        <xdr:sp macro="" textlink="">
          <xdr:nvSpPr>
            <xdr:cNvPr id="52" name="Rounded Rectangle 51"/>
            <xdr:cNvSpPr/>
          </xdr:nvSpPr>
          <xdr:spPr>
            <a:xfrm>
              <a:off x="10725149" y="1181100"/>
              <a:ext cx="881673" cy="247650"/>
            </a:xfrm>
            <a:prstGeom prst="round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27432" rtlCol="0" anchor="ctr"/>
            <a:lstStyle/>
            <a:p>
              <a:pPr algn="r"/>
              <a:r>
                <a:rPr lang="en-US" sz="1100"/>
                <a:t>Delete </a:t>
              </a:r>
            </a:p>
          </xdr:txBody>
        </xdr:sp>
        <xdr:pic>
          <xdr:nvPicPr>
            <xdr:cNvPr id="42" name="Picture 41"/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70086" y="1202474"/>
              <a:ext cx="240814" cy="216751"/>
            </a:xfrm>
            <a:prstGeom prst="rect">
              <a:avLst/>
            </a:prstGeom>
          </xdr:spPr>
        </xdr:pic>
      </xdr:grp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nhhsn@Gmail.com" TargetMode="External"/><Relationship Id="rId13" Type="http://schemas.openxmlformats.org/officeDocument/2006/relationships/hyperlink" Target="mailto:nhhsn@Gmail.com" TargetMode="External"/><Relationship Id="rId18" Type="http://schemas.openxmlformats.org/officeDocument/2006/relationships/hyperlink" Target="mailto:skkk@gmail.com" TargetMode="External"/><Relationship Id="rId26" Type="http://schemas.openxmlformats.org/officeDocument/2006/relationships/hyperlink" Target="mailto:nhhsn@Gmail.com" TargetMode="External"/><Relationship Id="rId3" Type="http://schemas.openxmlformats.org/officeDocument/2006/relationships/hyperlink" Target="mailto:ek@yahoomail.com" TargetMode="External"/><Relationship Id="rId21" Type="http://schemas.openxmlformats.org/officeDocument/2006/relationships/hyperlink" Target="mailto:dhh@yahoo.com" TargetMode="External"/><Relationship Id="rId7" Type="http://schemas.openxmlformats.org/officeDocument/2006/relationships/hyperlink" Target="mailto:gnhss@gmail.com" TargetMode="External"/><Relationship Id="rId12" Type="http://schemas.openxmlformats.org/officeDocument/2006/relationships/hyperlink" Target="mailto:nhhsn@Gmail.com" TargetMode="External"/><Relationship Id="rId17" Type="http://schemas.openxmlformats.org/officeDocument/2006/relationships/hyperlink" Target="mailto:ek@yahoomail.com" TargetMode="External"/><Relationship Id="rId25" Type="http://schemas.openxmlformats.org/officeDocument/2006/relationships/hyperlink" Target="mailto:gnhss@gmail.com" TargetMode="External"/><Relationship Id="rId2" Type="http://schemas.openxmlformats.org/officeDocument/2006/relationships/hyperlink" Target="mailto:gggg@yahoomail.com" TargetMode="External"/><Relationship Id="rId16" Type="http://schemas.openxmlformats.org/officeDocument/2006/relationships/hyperlink" Target="mailto:ek@yahoomail.com" TargetMode="External"/><Relationship Id="rId20" Type="http://schemas.openxmlformats.org/officeDocument/2006/relationships/hyperlink" Target="mailto:dhh@yahoo.com" TargetMode="External"/><Relationship Id="rId29" Type="http://schemas.openxmlformats.org/officeDocument/2006/relationships/hyperlink" Target="mailto:ek@yahoomail.com" TargetMode="External"/><Relationship Id="rId1" Type="http://schemas.openxmlformats.org/officeDocument/2006/relationships/hyperlink" Target="mailto:nhhsn@Gmail.com" TargetMode="External"/><Relationship Id="rId6" Type="http://schemas.openxmlformats.org/officeDocument/2006/relationships/hyperlink" Target="mailto:777rrtt@gmail.com" TargetMode="External"/><Relationship Id="rId11" Type="http://schemas.openxmlformats.org/officeDocument/2006/relationships/hyperlink" Target="mailto:skkk@gmail.com" TargetMode="External"/><Relationship Id="rId24" Type="http://schemas.openxmlformats.org/officeDocument/2006/relationships/hyperlink" Target="mailto:gnhss@gmail.com" TargetMode="External"/><Relationship Id="rId5" Type="http://schemas.openxmlformats.org/officeDocument/2006/relationships/hyperlink" Target="mailto:dhh@yahoo.com" TargetMode="External"/><Relationship Id="rId15" Type="http://schemas.openxmlformats.org/officeDocument/2006/relationships/hyperlink" Target="mailto:gggg@yahoomail.com" TargetMode="External"/><Relationship Id="rId23" Type="http://schemas.openxmlformats.org/officeDocument/2006/relationships/hyperlink" Target="mailto:777rrtt@gmail.com" TargetMode="External"/><Relationship Id="rId28" Type="http://schemas.openxmlformats.org/officeDocument/2006/relationships/hyperlink" Target="mailto:gggg@yahoomail.com" TargetMode="External"/><Relationship Id="rId10" Type="http://schemas.openxmlformats.org/officeDocument/2006/relationships/hyperlink" Target="mailto:ek@yahoomail.com" TargetMode="External"/><Relationship Id="rId19" Type="http://schemas.openxmlformats.org/officeDocument/2006/relationships/hyperlink" Target="mailto:skkk@gmail.com" TargetMode="External"/><Relationship Id="rId31" Type="http://schemas.openxmlformats.org/officeDocument/2006/relationships/hyperlink" Target="mailto:skkk@gmail.com" TargetMode="External"/><Relationship Id="rId4" Type="http://schemas.openxmlformats.org/officeDocument/2006/relationships/hyperlink" Target="mailto:skkk@gmail.com" TargetMode="External"/><Relationship Id="rId9" Type="http://schemas.openxmlformats.org/officeDocument/2006/relationships/hyperlink" Target="mailto:gggg@yahoomail.com" TargetMode="External"/><Relationship Id="rId14" Type="http://schemas.openxmlformats.org/officeDocument/2006/relationships/hyperlink" Target="mailto:gggg@yahoomail.com" TargetMode="External"/><Relationship Id="rId22" Type="http://schemas.openxmlformats.org/officeDocument/2006/relationships/hyperlink" Target="mailto:777rrtt@gmail.com" TargetMode="External"/><Relationship Id="rId27" Type="http://schemas.openxmlformats.org/officeDocument/2006/relationships/hyperlink" Target="mailto:gggg@yahoomail.com" TargetMode="External"/><Relationship Id="rId30" Type="http://schemas.openxmlformats.org/officeDocument/2006/relationships/hyperlink" Target="mailto:skkk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292"/>
  <sheetViews>
    <sheetView tabSelected="1" workbookViewId="0">
      <selection activeCell="F2" sqref="F2:G2"/>
    </sheetView>
  </sheetViews>
  <sheetFormatPr defaultRowHeight="15" x14ac:dyDescent="0.25"/>
  <cols>
    <col min="1" max="1" width="15.5703125" bestFit="1" customWidth="1"/>
    <col min="5" max="5" width="25.5703125" bestFit="1" customWidth="1"/>
    <col min="6" max="6" width="17.5703125" bestFit="1" customWidth="1"/>
    <col min="7" max="7" width="19.5703125" bestFit="1" customWidth="1"/>
    <col min="8" max="8" width="19.28515625" customWidth="1"/>
    <col min="9" max="9" width="20" bestFit="1" customWidth="1"/>
    <col min="10" max="10" width="16.140625" bestFit="1" customWidth="1"/>
  </cols>
  <sheetData>
    <row r="1" spans="1:18" ht="39" customHeight="1" x14ac:dyDescent="0.25">
      <c r="A1" s="116" t="s">
        <v>206</v>
      </c>
      <c r="B1" s="116" t="b">
        <v>0</v>
      </c>
      <c r="C1" s="3"/>
      <c r="D1" s="3"/>
      <c r="E1" s="98" t="s">
        <v>0</v>
      </c>
      <c r="F1" s="98"/>
      <c r="G1" s="98"/>
      <c r="H1" s="98"/>
      <c r="I1" s="98"/>
      <c r="J1" s="98"/>
      <c r="K1" s="3"/>
      <c r="L1" s="3"/>
      <c r="M1" s="3"/>
      <c r="N1" s="3"/>
      <c r="O1" s="3"/>
      <c r="P1" s="3"/>
      <c r="Q1" s="3"/>
      <c r="R1" s="3"/>
    </row>
    <row r="2" spans="1:18" ht="17.25" x14ac:dyDescent="0.3">
      <c r="A2" s="116" t="s">
        <v>6</v>
      </c>
      <c r="B2" s="116">
        <v>5</v>
      </c>
      <c r="C2" s="4"/>
      <c r="D2" s="4"/>
      <c r="E2" s="9" t="s">
        <v>1</v>
      </c>
      <c r="F2" s="102">
        <v>1004</v>
      </c>
      <c r="G2" s="103"/>
      <c r="H2" s="8"/>
      <c r="I2" s="6" t="s">
        <v>99</v>
      </c>
      <c r="J2" s="7">
        <v>1002</v>
      </c>
      <c r="K2" s="4"/>
      <c r="L2" s="4"/>
      <c r="M2" s="4"/>
      <c r="N2" s="4"/>
      <c r="O2" s="4"/>
      <c r="P2" s="4"/>
      <c r="Q2" s="4"/>
      <c r="R2" s="4"/>
    </row>
    <row r="3" spans="1:18" ht="15.75" thickBot="1" x14ac:dyDescent="0.3">
      <c r="A3" s="116" t="s">
        <v>7</v>
      </c>
      <c r="B3" s="116">
        <v>129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1:18" ht="15.75" thickBot="1" x14ac:dyDescent="0.3">
      <c r="A4" s="116" t="s">
        <v>207</v>
      </c>
      <c r="B4" s="116">
        <f ca="1">IFERROR(MATCH(J2,EmployeeId,0)+3,"")</f>
        <v>6</v>
      </c>
      <c r="C4" s="5"/>
      <c r="D4" s="5"/>
      <c r="E4" s="50" t="s">
        <v>2</v>
      </c>
      <c r="F4" s="50" t="s">
        <v>3</v>
      </c>
      <c r="G4" s="50" t="s">
        <v>4</v>
      </c>
      <c r="H4" s="50" t="s">
        <v>5</v>
      </c>
      <c r="I4" s="50" t="s">
        <v>58</v>
      </c>
      <c r="J4" s="50" t="s">
        <v>59</v>
      </c>
      <c r="K4" s="5"/>
      <c r="L4" s="5"/>
      <c r="M4" s="5"/>
      <c r="N4" s="5"/>
      <c r="O4" s="5"/>
      <c r="P4" s="5"/>
      <c r="Q4" s="5"/>
      <c r="R4" s="5"/>
    </row>
    <row r="5" spans="1:18" x14ac:dyDescent="0.25">
      <c r="A5" s="116" t="s">
        <v>208</v>
      </c>
      <c r="B5" s="116" t="str">
        <f ca="1">IFERROR(MATCH(F2,EmployeeName,0)+3,"")</f>
        <v/>
      </c>
      <c r="C5" s="5"/>
      <c r="D5" s="5"/>
      <c r="E5" s="11"/>
      <c r="F5" s="12"/>
      <c r="G5" s="12"/>
      <c r="H5" s="12"/>
      <c r="I5" s="12"/>
      <c r="J5" s="13"/>
      <c r="K5" s="5"/>
      <c r="L5" s="5"/>
      <c r="M5" s="5"/>
      <c r="N5" s="5"/>
      <c r="O5" s="5"/>
      <c r="P5" s="5"/>
      <c r="Q5" s="5"/>
      <c r="R5" s="5"/>
    </row>
    <row r="6" spans="1:18" x14ac:dyDescent="0.25">
      <c r="A6" s="116" t="s">
        <v>209</v>
      </c>
      <c r="B6" s="116" t="b">
        <v>0</v>
      </c>
      <c r="C6" s="5"/>
      <c r="D6" s="5"/>
      <c r="E6" s="19" t="s">
        <v>8</v>
      </c>
      <c r="F6" s="17" t="s">
        <v>165</v>
      </c>
      <c r="G6" s="21" t="s">
        <v>9</v>
      </c>
      <c r="H6" s="18" t="s">
        <v>166</v>
      </c>
      <c r="I6" s="12"/>
      <c r="J6" s="13"/>
      <c r="K6" s="5"/>
      <c r="L6" s="5"/>
      <c r="M6" s="5"/>
      <c r="N6" s="5"/>
      <c r="O6" s="5"/>
      <c r="P6" s="5"/>
      <c r="Q6" s="5"/>
      <c r="R6" s="5"/>
    </row>
    <row r="7" spans="1:18" x14ac:dyDescent="0.25">
      <c r="A7" s="1"/>
      <c r="B7" s="1"/>
      <c r="C7" s="5"/>
      <c r="D7" s="5"/>
      <c r="E7" s="20"/>
      <c r="F7" s="12"/>
      <c r="G7" s="12"/>
      <c r="H7" s="12"/>
      <c r="I7" s="12"/>
      <c r="J7" s="13"/>
      <c r="K7" s="5"/>
      <c r="L7" s="5"/>
      <c r="M7" s="5"/>
      <c r="N7" s="5"/>
      <c r="O7" s="5"/>
      <c r="P7" s="5"/>
      <c r="Q7" s="5"/>
      <c r="R7" s="5"/>
    </row>
    <row r="8" spans="1:18" x14ac:dyDescent="0.25">
      <c r="A8" s="1"/>
      <c r="B8" s="1"/>
      <c r="C8" s="5"/>
      <c r="D8" s="5"/>
      <c r="E8" s="19" t="s">
        <v>10</v>
      </c>
      <c r="F8" s="99" t="s">
        <v>175</v>
      </c>
      <c r="G8" s="100"/>
      <c r="H8" s="101"/>
      <c r="I8" s="12"/>
      <c r="J8" s="13"/>
      <c r="K8" s="5"/>
      <c r="L8" s="5"/>
      <c r="M8" s="5"/>
      <c r="N8" s="5"/>
      <c r="O8" s="5"/>
      <c r="P8" s="5"/>
      <c r="Q8" s="5"/>
      <c r="R8" s="5"/>
    </row>
    <row r="9" spans="1:18" x14ac:dyDescent="0.25">
      <c r="A9" s="1"/>
      <c r="B9" s="1"/>
      <c r="C9" s="5"/>
      <c r="D9" s="5"/>
      <c r="E9" s="20"/>
      <c r="F9" s="12"/>
      <c r="G9" s="12"/>
      <c r="H9" s="12"/>
      <c r="I9" s="12"/>
      <c r="J9" s="13"/>
      <c r="K9" s="5"/>
      <c r="L9" s="5"/>
      <c r="M9" s="5"/>
      <c r="N9" s="5"/>
      <c r="O9" s="5"/>
      <c r="P9" s="5"/>
      <c r="Q9" s="5"/>
      <c r="R9" s="5"/>
    </row>
    <row r="10" spans="1:18" x14ac:dyDescent="0.25">
      <c r="A10" s="1"/>
      <c r="B10" s="1"/>
      <c r="C10" s="5"/>
      <c r="D10" s="5"/>
      <c r="E10" s="19" t="s">
        <v>11</v>
      </c>
      <c r="F10" s="17" t="s">
        <v>202</v>
      </c>
      <c r="G10" s="21" t="s">
        <v>12</v>
      </c>
      <c r="H10" s="18" t="s">
        <v>195</v>
      </c>
      <c r="I10" s="12"/>
      <c r="J10" s="110"/>
      <c r="K10" s="5" t="s">
        <v>98</v>
      </c>
      <c r="L10" s="5"/>
      <c r="M10" s="5"/>
      <c r="N10" s="5"/>
      <c r="O10" s="5"/>
      <c r="P10" s="5"/>
      <c r="Q10" s="5"/>
      <c r="R10" s="5"/>
    </row>
    <row r="11" spans="1:18" x14ac:dyDescent="0.25">
      <c r="A11" s="1"/>
      <c r="B11" s="1"/>
      <c r="C11" s="5"/>
      <c r="D11" s="5"/>
      <c r="E11" s="20"/>
      <c r="F11" s="12"/>
      <c r="G11" s="22"/>
      <c r="H11" s="12"/>
      <c r="I11" s="12"/>
      <c r="J11" s="13"/>
      <c r="K11" s="5"/>
      <c r="L11" s="5"/>
      <c r="M11" s="5"/>
      <c r="N11" s="5"/>
      <c r="O11" s="5"/>
      <c r="P11" s="5"/>
      <c r="Q11" s="5"/>
      <c r="R11" s="5"/>
    </row>
    <row r="12" spans="1:18" x14ac:dyDescent="0.25">
      <c r="A12" s="1"/>
      <c r="B12" s="1"/>
      <c r="C12" s="5"/>
      <c r="D12" s="5"/>
      <c r="E12" s="19" t="s">
        <v>13</v>
      </c>
      <c r="F12" s="17">
        <v>23405</v>
      </c>
      <c r="G12" s="21" t="s">
        <v>14</v>
      </c>
      <c r="H12" s="18">
        <v>9000000001</v>
      </c>
      <c r="I12" s="12"/>
      <c r="J12" s="13"/>
      <c r="K12" s="5"/>
      <c r="L12" s="5"/>
      <c r="M12" s="5"/>
      <c r="N12" s="5"/>
      <c r="O12" s="5"/>
      <c r="P12" s="5"/>
      <c r="Q12" s="5"/>
      <c r="R12" s="5"/>
    </row>
    <row r="13" spans="1:18" x14ac:dyDescent="0.25">
      <c r="A13" s="1"/>
      <c r="B13" s="1"/>
      <c r="C13" s="5"/>
      <c r="D13" s="5"/>
      <c r="E13" s="20"/>
      <c r="F13" s="12"/>
      <c r="G13" s="22"/>
      <c r="H13" s="12"/>
      <c r="I13" s="12"/>
      <c r="J13" s="13"/>
      <c r="K13" s="5"/>
      <c r="L13" s="5"/>
      <c r="M13" s="5"/>
      <c r="N13" s="5"/>
      <c r="O13" s="5"/>
      <c r="P13" s="5"/>
      <c r="Q13" s="5"/>
      <c r="R13" s="5"/>
    </row>
    <row r="14" spans="1:18" x14ac:dyDescent="0.25">
      <c r="A14" s="1"/>
      <c r="B14" s="1"/>
      <c r="C14" s="5"/>
      <c r="D14" s="5"/>
      <c r="E14" s="19" t="s">
        <v>15</v>
      </c>
      <c r="F14" s="17">
        <v>8000000001</v>
      </c>
      <c r="G14" s="21" t="s">
        <v>16</v>
      </c>
      <c r="H14" s="18" t="s">
        <v>183</v>
      </c>
      <c r="I14" s="24" t="s">
        <v>97</v>
      </c>
      <c r="J14" s="23" t="s">
        <v>158</v>
      </c>
      <c r="K14" s="5"/>
      <c r="L14" s="5"/>
      <c r="M14" s="5"/>
      <c r="N14" s="5"/>
      <c r="O14" s="5"/>
      <c r="P14" s="5"/>
      <c r="Q14" s="5"/>
      <c r="R14" s="5"/>
    </row>
    <row r="15" spans="1:18" x14ac:dyDescent="0.25">
      <c r="A15" s="1"/>
      <c r="B15" s="1"/>
      <c r="C15" s="5"/>
      <c r="D15" s="5"/>
      <c r="E15" s="20"/>
      <c r="F15" s="12"/>
      <c r="G15" s="22"/>
      <c r="H15" s="12"/>
      <c r="I15" s="12"/>
      <c r="J15" s="13"/>
      <c r="K15" s="5"/>
      <c r="L15" s="5"/>
      <c r="M15" s="5"/>
      <c r="N15" s="5"/>
      <c r="O15" s="5"/>
      <c r="P15" s="5"/>
      <c r="Q15" s="5"/>
      <c r="R15" s="5"/>
    </row>
    <row r="16" spans="1:18" ht="15.75" thickBot="1" x14ac:dyDescent="0.3">
      <c r="A16" s="1"/>
      <c r="B16" s="1"/>
      <c r="C16" s="5"/>
      <c r="D16" s="5"/>
      <c r="E16" s="19" t="s">
        <v>115</v>
      </c>
      <c r="F16" s="17"/>
      <c r="G16" s="21" t="s">
        <v>17</v>
      </c>
      <c r="H16" s="18"/>
      <c r="I16" s="24" t="s">
        <v>96</v>
      </c>
      <c r="J16" s="117">
        <v>37262</v>
      </c>
      <c r="K16" s="5"/>
      <c r="L16" s="5"/>
      <c r="M16" s="5"/>
      <c r="N16" s="5"/>
      <c r="O16" s="5"/>
      <c r="P16" s="5"/>
      <c r="Q16" s="5"/>
      <c r="R16" s="5"/>
    </row>
    <row r="17" spans="1:18" ht="15.75" thickBot="1" x14ac:dyDescent="0.3">
      <c r="A17" s="1"/>
      <c r="B17" s="1"/>
      <c r="C17" s="5"/>
      <c r="D17" s="5"/>
      <c r="E17" s="95" t="s">
        <v>91</v>
      </c>
      <c r="F17" s="96"/>
      <c r="G17" s="96"/>
      <c r="H17" s="96"/>
      <c r="I17" s="96"/>
      <c r="J17" s="97"/>
      <c r="K17" s="5"/>
      <c r="L17" s="5"/>
      <c r="M17" s="5"/>
      <c r="N17" s="5"/>
      <c r="O17" s="5"/>
      <c r="P17" s="5"/>
      <c r="Q17" s="5"/>
      <c r="R17" s="5"/>
    </row>
    <row r="18" spans="1:18" ht="15.75" thickBot="1" x14ac:dyDescent="0.3">
      <c r="A18" s="1"/>
      <c r="B18" s="1"/>
      <c r="C18" s="5"/>
      <c r="D18" s="5"/>
      <c r="E18" s="76" t="s">
        <v>90</v>
      </c>
      <c r="F18" s="77" t="s">
        <v>92</v>
      </c>
      <c r="G18" s="77" t="s">
        <v>93</v>
      </c>
      <c r="H18" s="77" t="s">
        <v>94</v>
      </c>
      <c r="I18" s="77" t="s">
        <v>95</v>
      </c>
      <c r="J18" s="78"/>
      <c r="K18" s="5"/>
      <c r="L18" s="5"/>
      <c r="M18" s="5"/>
      <c r="N18" s="5"/>
      <c r="O18" s="5"/>
      <c r="P18" s="5"/>
      <c r="Q18" s="5"/>
      <c r="R18" s="5"/>
    </row>
    <row r="19" spans="1:18" x14ac:dyDescent="0.25">
      <c r="A19" s="1"/>
      <c r="B19" s="1"/>
      <c r="C19" s="5"/>
      <c r="D19" s="5"/>
      <c r="E19" s="11"/>
      <c r="F19" s="12"/>
      <c r="G19" s="12"/>
      <c r="H19" s="12"/>
      <c r="I19" s="12"/>
      <c r="J19" s="13"/>
      <c r="K19" s="5"/>
      <c r="L19" s="5"/>
      <c r="M19" s="5"/>
      <c r="N19" s="5"/>
      <c r="O19" s="5"/>
      <c r="P19" s="5"/>
      <c r="Q19" s="5"/>
      <c r="R19" s="5"/>
    </row>
    <row r="20" spans="1:18" x14ac:dyDescent="0.25">
      <c r="A20" s="1"/>
      <c r="B20" s="1"/>
      <c r="C20" s="5"/>
      <c r="D20" s="5"/>
      <c r="E20" s="11"/>
      <c r="F20" s="12"/>
      <c r="G20" s="12"/>
      <c r="H20" s="12"/>
      <c r="I20" s="12"/>
      <c r="J20" s="13"/>
      <c r="K20" s="5"/>
      <c r="L20" s="5"/>
      <c r="M20" s="5"/>
      <c r="N20" s="5"/>
      <c r="O20" s="5"/>
      <c r="P20" s="5"/>
      <c r="Q20" s="5"/>
      <c r="R20" s="5"/>
    </row>
    <row r="21" spans="1:18" x14ac:dyDescent="0.25">
      <c r="A21" s="1"/>
      <c r="B21" s="1"/>
      <c r="C21" s="5"/>
      <c r="D21" s="5"/>
      <c r="E21" s="11"/>
      <c r="F21" s="12"/>
      <c r="G21" s="12"/>
      <c r="H21" s="12"/>
      <c r="I21" s="12"/>
      <c r="J21" s="13"/>
      <c r="K21" s="5"/>
      <c r="L21" s="5"/>
      <c r="M21" s="5"/>
      <c r="N21" s="5"/>
      <c r="O21" s="5"/>
      <c r="P21" s="5"/>
      <c r="Q21" s="5"/>
      <c r="R21" s="5"/>
    </row>
    <row r="22" spans="1:18" x14ac:dyDescent="0.25">
      <c r="A22" s="1"/>
      <c r="B22" s="1"/>
      <c r="C22" s="5"/>
      <c r="D22" s="5"/>
      <c r="E22" s="11"/>
      <c r="F22" s="12"/>
      <c r="G22" s="12"/>
      <c r="H22" s="12"/>
      <c r="I22" s="12"/>
      <c r="J22" s="13"/>
      <c r="K22" s="5"/>
      <c r="L22" s="5"/>
      <c r="M22" s="5"/>
      <c r="N22" s="5"/>
      <c r="O22" s="5"/>
      <c r="P22" s="5"/>
      <c r="Q22" s="5"/>
      <c r="R22" s="5"/>
    </row>
    <row r="23" spans="1:18" x14ac:dyDescent="0.25">
      <c r="C23" s="5"/>
      <c r="D23" s="5"/>
      <c r="E23" s="11"/>
      <c r="F23" s="12"/>
      <c r="G23" s="12"/>
      <c r="H23" s="12"/>
      <c r="I23" s="12"/>
      <c r="J23" s="13"/>
      <c r="K23" s="5"/>
      <c r="L23" s="5"/>
      <c r="M23" s="5"/>
      <c r="N23" s="5"/>
      <c r="O23" s="5"/>
      <c r="P23" s="5"/>
      <c r="Q23" s="5"/>
      <c r="R23" s="5"/>
    </row>
    <row r="24" spans="1:18" ht="15.75" thickBot="1" x14ac:dyDescent="0.3">
      <c r="C24" s="5"/>
      <c r="D24" s="5"/>
      <c r="E24" s="11"/>
      <c r="F24" s="12"/>
      <c r="G24" s="12"/>
      <c r="H24" s="12"/>
      <c r="I24" s="12"/>
      <c r="J24" s="13"/>
      <c r="K24" s="5"/>
      <c r="L24" s="5"/>
      <c r="M24" s="5"/>
      <c r="N24" s="5"/>
      <c r="O24" s="5"/>
      <c r="P24" s="5"/>
      <c r="Q24" s="5"/>
      <c r="R24" s="5"/>
    </row>
    <row r="25" spans="1:18" hidden="1" x14ac:dyDescent="0.25">
      <c r="C25" s="5"/>
      <c r="D25" s="5"/>
      <c r="E25" s="11"/>
      <c r="F25" s="12"/>
      <c r="G25" s="12"/>
      <c r="H25" s="12"/>
      <c r="I25" s="12"/>
      <c r="J25" s="13"/>
      <c r="K25" s="5"/>
      <c r="L25" s="5"/>
      <c r="M25" s="5"/>
      <c r="N25" s="5"/>
      <c r="O25" s="5"/>
      <c r="P25" s="5"/>
      <c r="Q25" s="5"/>
      <c r="R25" s="5"/>
    </row>
    <row r="26" spans="1:18" hidden="1" x14ac:dyDescent="0.25">
      <c r="C26" s="5"/>
      <c r="D26" s="5"/>
      <c r="E26" s="11"/>
      <c r="F26" s="25" t="s">
        <v>18</v>
      </c>
      <c r="G26" s="26"/>
      <c r="H26" s="25" t="s">
        <v>19</v>
      </c>
      <c r="I26" s="26"/>
      <c r="J26" s="13"/>
      <c r="K26" s="5"/>
      <c r="L26" s="5"/>
      <c r="M26" s="5"/>
      <c r="N26" s="5"/>
      <c r="O26" s="5"/>
      <c r="P26" s="5"/>
      <c r="Q26" s="5"/>
      <c r="R26" s="5"/>
    </row>
    <row r="27" spans="1:18" hidden="1" x14ac:dyDescent="0.25">
      <c r="C27" s="5"/>
      <c r="D27" s="5"/>
      <c r="E27" s="27" t="s">
        <v>24</v>
      </c>
      <c r="F27" s="28" t="s">
        <v>20</v>
      </c>
      <c r="G27" s="28" t="s">
        <v>25</v>
      </c>
      <c r="H27" s="28" t="s">
        <v>21</v>
      </c>
      <c r="I27" s="28" t="s">
        <v>22</v>
      </c>
      <c r="J27" s="29" t="s">
        <v>23</v>
      </c>
      <c r="K27" s="5"/>
      <c r="L27" s="5"/>
      <c r="M27" s="5"/>
      <c r="N27" s="5"/>
      <c r="O27" s="5"/>
      <c r="P27" s="5"/>
      <c r="Q27" s="5"/>
      <c r="R27" s="5"/>
    </row>
    <row r="28" spans="1:18" hidden="1" x14ac:dyDescent="0.25">
      <c r="C28" s="5"/>
      <c r="D28" s="5"/>
      <c r="E28" s="30"/>
      <c r="F28" s="31"/>
      <c r="G28" s="31"/>
      <c r="H28" s="31"/>
      <c r="I28" s="31"/>
      <c r="J28" s="32"/>
      <c r="K28" s="5"/>
      <c r="L28" s="5"/>
      <c r="M28" s="5"/>
      <c r="N28" s="5"/>
      <c r="O28" s="5"/>
      <c r="P28" s="5"/>
      <c r="Q28" s="5"/>
      <c r="R28" s="5"/>
    </row>
    <row r="29" spans="1:18" hidden="1" x14ac:dyDescent="0.25">
      <c r="C29" s="5"/>
      <c r="D29" s="5"/>
      <c r="E29" s="33"/>
      <c r="F29" s="34"/>
      <c r="G29" s="34"/>
      <c r="H29" s="34"/>
      <c r="I29" s="34"/>
      <c r="J29" s="35"/>
      <c r="K29" s="5"/>
      <c r="L29" s="5"/>
      <c r="M29" s="5"/>
      <c r="N29" s="5"/>
      <c r="O29" s="5"/>
      <c r="P29" s="5"/>
      <c r="Q29" s="5"/>
      <c r="R29" s="5"/>
    </row>
    <row r="30" spans="1:18" hidden="1" x14ac:dyDescent="0.25">
      <c r="C30" s="5"/>
      <c r="D30" s="5"/>
      <c r="E30" s="33"/>
      <c r="F30" s="34"/>
      <c r="G30" s="34"/>
      <c r="H30" s="34"/>
      <c r="I30" s="34"/>
      <c r="J30" s="35"/>
      <c r="K30" s="5"/>
      <c r="L30" s="5"/>
      <c r="M30" s="5"/>
      <c r="N30" s="5"/>
      <c r="O30" s="5"/>
      <c r="P30" s="5"/>
      <c r="Q30" s="5"/>
      <c r="R30" s="5"/>
    </row>
    <row r="31" spans="1:18" hidden="1" x14ac:dyDescent="0.25">
      <c r="C31" s="5"/>
      <c r="D31" s="5"/>
      <c r="E31" s="33"/>
      <c r="F31" s="34"/>
      <c r="G31" s="34"/>
      <c r="H31" s="34"/>
      <c r="I31" s="34"/>
      <c r="J31" s="35"/>
      <c r="K31" s="5"/>
      <c r="L31" s="5"/>
      <c r="M31" s="5"/>
      <c r="N31" s="5"/>
      <c r="O31" s="5"/>
      <c r="P31" s="5"/>
      <c r="Q31" s="5"/>
      <c r="R31" s="5"/>
    </row>
    <row r="32" spans="1:18" hidden="1" x14ac:dyDescent="0.25">
      <c r="C32" s="5"/>
      <c r="D32" s="5"/>
      <c r="E32" s="33"/>
      <c r="F32" s="34"/>
      <c r="G32" s="34"/>
      <c r="H32" s="34"/>
      <c r="I32" s="34"/>
      <c r="J32" s="35"/>
      <c r="K32" s="5"/>
      <c r="L32" s="5"/>
      <c r="M32" s="5"/>
      <c r="N32" s="5"/>
      <c r="O32" s="5"/>
      <c r="P32" s="5"/>
      <c r="Q32" s="5"/>
      <c r="R32" s="5"/>
    </row>
    <row r="33" spans="3:18" hidden="1" x14ac:dyDescent="0.25">
      <c r="C33" s="5"/>
      <c r="D33" s="5"/>
      <c r="E33" s="33"/>
      <c r="F33" s="34"/>
      <c r="G33" s="34"/>
      <c r="H33" s="34"/>
      <c r="I33" s="34"/>
      <c r="J33" s="35"/>
      <c r="K33" s="5"/>
      <c r="L33" s="5"/>
      <c r="M33" s="5"/>
      <c r="N33" s="5"/>
      <c r="O33" s="5"/>
      <c r="P33" s="5"/>
      <c r="Q33" s="5"/>
      <c r="R33" s="5"/>
    </row>
    <row r="34" spans="3:18" hidden="1" x14ac:dyDescent="0.25">
      <c r="C34" s="5"/>
      <c r="D34" s="5"/>
      <c r="E34" s="33"/>
      <c r="F34" s="34"/>
      <c r="G34" s="34"/>
      <c r="H34" s="34"/>
      <c r="I34" s="34"/>
      <c r="J34" s="35"/>
      <c r="K34" s="5"/>
      <c r="L34" s="5"/>
      <c r="M34" s="5"/>
      <c r="N34" s="5"/>
      <c r="O34" s="5"/>
      <c r="P34" s="5"/>
      <c r="Q34" s="5"/>
      <c r="R34" s="5"/>
    </row>
    <row r="35" spans="3:18" hidden="1" x14ac:dyDescent="0.25">
      <c r="C35" s="5"/>
      <c r="D35" s="5"/>
      <c r="E35" s="33"/>
      <c r="F35" s="34"/>
      <c r="G35" s="34"/>
      <c r="H35" s="34"/>
      <c r="I35" s="34"/>
      <c r="J35" s="35"/>
      <c r="K35" s="5"/>
      <c r="L35" s="5"/>
      <c r="M35" s="5"/>
      <c r="N35" s="5"/>
      <c r="O35" s="5"/>
      <c r="P35" s="5"/>
      <c r="Q35" s="5"/>
      <c r="R35" s="5"/>
    </row>
    <row r="36" spans="3:18" hidden="1" x14ac:dyDescent="0.25">
      <c r="C36" s="5"/>
      <c r="D36" s="5"/>
      <c r="E36" s="33"/>
      <c r="F36" s="34"/>
      <c r="G36" s="34"/>
      <c r="H36" s="34"/>
      <c r="I36" s="34"/>
      <c r="J36" s="35"/>
      <c r="K36" s="5"/>
      <c r="L36" s="5"/>
      <c r="M36" s="5"/>
      <c r="N36" s="5"/>
      <c r="O36" s="5"/>
      <c r="P36" s="5"/>
      <c r="Q36" s="5"/>
      <c r="R36" s="5"/>
    </row>
    <row r="37" spans="3:18" hidden="1" x14ac:dyDescent="0.25">
      <c r="C37" s="5"/>
      <c r="D37" s="5"/>
      <c r="E37" s="33"/>
      <c r="F37" s="34"/>
      <c r="G37" s="34"/>
      <c r="H37" s="34"/>
      <c r="I37" s="34"/>
      <c r="J37" s="35"/>
      <c r="K37" s="5"/>
      <c r="L37" s="5"/>
      <c r="M37" s="5"/>
      <c r="N37" s="5"/>
      <c r="O37" s="5"/>
      <c r="P37" s="5"/>
      <c r="Q37" s="5"/>
      <c r="R37" s="5"/>
    </row>
    <row r="38" spans="3:18" hidden="1" x14ac:dyDescent="0.25">
      <c r="C38" s="5"/>
      <c r="D38" s="5"/>
      <c r="E38" s="33"/>
      <c r="F38" s="34"/>
      <c r="G38" s="34"/>
      <c r="H38" s="34"/>
      <c r="I38" s="34"/>
      <c r="J38" s="35"/>
      <c r="K38" s="5"/>
      <c r="L38" s="5"/>
      <c r="M38" s="5"/>
      <c r="N38" s="5"/>
      <c r="O38" s="5"/>
      <c r="P38" s="5"/>
      <c r="Q38" s="5"/>
      <c r="R38" s="5"/>
    </row>
    <row r="39" spans="3:18" hidden="1" x14ac:dyDescent="0.25">
      <c r="C39" s="5"/>
      <c r="D39" s="5"/>
      <c r="E39" s="33"/>
      <c r="F39" s="34"/>
      <c r="G39" s="34"/>
      <c r="H39" s="34"/>
      <c r="I39" s="34"/>
      <c r="J39" s="35"/>
      <c r="K39" s="5"/>
      <c r="L39" s="5"/>
      <c r="M39" s="5"/>
      <c r="N39" s="5"/>
      <c r="O39" s="5"/>
      <c r="P39" s="5"/>
      <c r="Q39" s="5"/>
      <c r="R39" s="5"/>
    </row>
    <row r="40" spans="3:18" hidden="1" x14ac:dyDescent="0.25">
      <c r="C40" s="5"/>
      <c r="D40" s="5"/>
      <c r="E40" s="33"/>
      <c r="F40" s="34"/>
      <c r="G40" s="34"/>
      <c r="H40" s="34"/>
      <c r="I40" s="34"/>
      <c r="J40" s="35"/>
      <c r="K40" s="5"/>
      <c r="L40" s="5"/>
      <c r="M40" s="5"/>
      <c r="N40" s="5"/>
      <c r="O40" s="5"/>
      <c r="P40" s="5"/>
      <c r="Q40" s="5"/>
      <c r="R40" s="5"/>
    </row>
    <row r="41" spans="3:18" hidden="1" x14ac:dyDescent="0.25">
      <c r="C41" s="5"/>
      <c r="D41" s="5"/>
      <c r="E41" s="33"/>
      <c r="F41" s="34"/>
      <c r="G41" s="34"/>
      <c r="H41" s="34"/>
      <c r="I41" s="34"/>
      <c r="J41" s="35"/>
      <c r="K41" s="5"/>
      <c r="L41" s="5"/>
      <c r="M41" s="5"/>
      <c r="N41" s="5"/>
      <c r="O41" s="5"/>
      <c r="P41" s="5"/>
      <c r="Q41" s="5"/>
      <c r="R41" s="5"/>
    </row>
    <row r="42" spans="3:18" hidden="1" x14ac:dyDescent="0.25">
      <c r="C42" s="5"/>
      <c r="D42" s="5"/>
      <c r="E42" s="33"/>
      <c r="F42" s="34"/>
      <c r="G42" s="34"/>
      <c r="H42" s="34"/>
      <c r="I42" s="34"/>
      <c r="J42" s="35"/>
      <c r="K42" s="5"/>
      <c r="L42" s="5"/>
      <c r="M42" s="5"/>
      <c r="N42" s="5"/>
      <c r="O42" s="5"/>
      <c r="P42" s="5"/>
      <c r="Q42" s="5"/>
      <c r="R42" s="5"/>
    </row>
    <row r="43" spans="3:18" hidden="1" x14ac:dyDescent="0.25">
      <c r="C43" s="5"/>
      <c r="D43" s="5"/>
      <c r="E43" s="33"/>
      <c r="F43" s="34"/>
      <c r="G43" s="34"/>
      <c r="H43" s="34"/>
      <c r="I43" s="34"/>
      <c r="J43" s="35"/>
      <c r="K43" s="5"/>
      <c r="L43" s="5"/>
      <c r="M43" s="5"/>
      <c r="N43" s="5"/>
      <c r="O43" s="5"/>
      <c r="P43" s="5"/>
      <c r="Q43" s="5"/>
      <c r="R43" s="5"/>
    </row>
    <row r="44" spans="3:18" ht="15.75" hidden="1" thickBot="1" x14ac:dyDescent="0.3">
      <c r="C44" s="5"/>
      <c r="D44" s="5"/>
      <c r="E44" s="33"/>
      <c r="F44" s="34"/>
      <c r="G44" s="34"/>
      <c r="H44" s="34"/>
      <c r="I44" s="34"/>
      <c r="J44" s="35"/>
      <c r="K44" s="5"/>
      <c r="L44" s="5"/>
      <c r="M44" s="5"/>
      <c r="N44" s="5"/>
      <c r="O44" s="5"/>
      <c r="P44" s="5"/>
      <c r="Q44" s="5"/>
      <c r="R44" s="5"/>
    </row>
    <row r="45" spans="3:18" hidden="1" x14ac:dyDescent="0.25">
      <c r="C45" s="5"/>
      <c r="D45" s="5"/>
      <c r="E45" s="11"/>
      <c r="F45" s="12"/>
      <c r="G45" s="12"/>
      <c r="H45" s="12"/>
      <c r="I45" s="12"/>
      <c r="J45" s="13"/>
      <c r="K45" s="5"/>
      <c r="L45" s="5"/>
      <c r="M45" s="5"/>
      <c r="N45" s="5"/>
      <c r="O45" s="5"/>
      <c r="P45" s="5"/>
      <c r="Q45" s="5"/>
      <c r="R45" s="5"/>
    </row>
    <row r="46" spans="3:18" hidden="1" x14ac:dyDescent="0.25">
      <c r="C46" s="5"/>
      <c r="D46" s="5"/>
      <c r="E46" s="11"/>
      <c r="F46" s="25" t="s">
        <v>18</v>
      </c>
      <c r="G46" s="26"/>
      <c r="H46" s="25" t="s">
        <v>19</v>
      </c>
      <c r="I46" s="26"/>
      <c r="J46" s="13"/>
      <c r="K46" s="5"/>
      <c r="L46" s="5"/>
      <c r="M46" s="5"/>
      <c r="N46" s="5"/>
      <c r="O46" s="5"/>
      <c r="P46" s="5"/>
      <c r="Q46" s="5"/>
      <c r="R46" s="5"/>
    </row>
    <row r="47" spans="3:18" hidden="1" x14ac:dyDescent="0.25">
      <c r="C47" s="5"/>
      <c r="D47" s="5"/>
      <c r="E47" s="27" t="s">
        <v>26</v>
      </c>
      <c r="F47" s="28" t="s">
        <v>27</v>
      </c>
      <c r="G47" s="28" t="s">
        <v>30</v>
      </c>
      <c r="H47" s="28" t="s">
        <v>31</v>
      </c>
      <c r="I47" s="28" t="s">
        <v>28</v>
      </c>
      <c r="J47" s="29" t="s">
        <v>29</v>
      </c>
      <c r="K47" s="5"/>
      <c r="L47" s="5"/>
      <c r="M47" s="5"/>
      <c r="N47" s="5"/>
      <c r="O47" s="5"/>
      <c r="P47" s="5"/>
      <c r="Q47" s="5"/>
      <c r="R47" s="5"/>
    </row>
    <row r="48" spans="3:18" hidden="1" x14ac:dyDescent="0.25">
      <c r="C48" s="5"/>
      <c r="D48" s="5"/>
      <c r="E48" s="30"/>
      <c r="F48" s="31"/>
      <c r="G48" s="31"/>
      <c r="H48" s="31"/>
      <c r="I48" s="31"/>
      <c r="J48" s="32"/>
      <c r="K48" s="5"/>
      <c r="L48" s="5"/>
      <c r="M48" s="5"/>
      <c r="N48" s="5"/>
      <c r="O48" s="5"/>
      <c r="P48" s="5"/>
      <c r="Q48" s="5"/>
      <c r="R48" s="5"/>
    </row>
    <row r="49" spans="3:18" hidden="1" x14ac:dyDescent="0.25">
      <c r="C49" s="5"/>
      <c r="D49" s="5"/>
      <c r="E49" s="33"/>
      <c r="F49" s="34"/>
      <c r="G49" s="34"/>
      <c r="H49" s="34"/>
      <c r="I49" s="34"/>
      <c r="J49" s="35"/>
      <c r="K49" s="5"/>
      <c r="L49" s="5"/>
      <c r="M49" s="5"/>
      <c r="N49" s="5"/>
      <c r="O49" s="5"/>
      <c r="P49" s="5"/>
      <c r="Q49" s="5"/>
      <c r="R49" s="5"/>
    </row>
    <row r="50" spans="3:18" hidden="1" x14ac:dyDescent="0.25">
      <c r="C50" s="5"/>
      <c r="D50" s="5"/>
      <c r="E50" s="33"/>
      <c r="F50" s="34"/>
      <c r="G50" s="34"/>
      <c r="H50" s="34"/>
      <c r="I50" s="34"/>
      <c r="J50" s="35"/>
      <c r="K50" s="5"/>
      <c r="L50" s="5"/>
      <c r="M50" s="5"/>
      <c r="N50" s="5"/>
      <c r="O50" s="5"/>
      <c r="P50" s="5"/>
      <c r="Q50" s="5"/>
      <c r="R50" s="5"/>
    </row>
    <row r="51" spans="3:18" hidden="1" x14ac:dyDescent="0.25">
      <c r="C51" s="5"/>
      <c r="D51" s="5"/>
      <c r="E51" s="33"/>
      <c r="F51" s="34"/>
      <c r="G51" s="34"/>
      <c r="H51" s="34"/>
      <c r="I51" s="34"/>
      <c r="J51" s="35"/>
      <c r="K51" s="5"/>
      <c r="L51" s="5"/>
      <c r="M51" s="5"/>
      <c r="N51" s="5"/>
      <c r="O51" s="5"/>
      <c r="P51" s="5"/>
      <c r="Q51" s="5"/>
      <c r="R51" s="5"/>
    </row>
    <row r="52" spans="3:18" hidden="1" x14ac:dyDescent="0.25">
      <c r="C52" s="5"/>
      <c r="D52" s="5"/>
      <c r="E52" s="33"/>
      <c r="F52" s="34"/>
      <c r="G52" s="34"/>
      <c r="H52" s="34"/>
      <c r="I52" s="34"/>
      <c r="J52" s="35"/>
      <c r="K52" s="5"/>
      <c r="L52" s="5"/>
      <c r="M52" s="5"/>
      <c r="N52" s="5"/>
      <c r="O52" s="5"/>
      <c r="P52" s="5"/>
      <c r="Q52" s="5"/>
      <c r="R52" s="5"/>
    </row>
    <row r="53" spans="3:18" hidden="1" x14ac:dyDescent="0.25">
      <c r="C53" s="5"/>
      <c r="D53" s="5"/>
      <c r="E53" s="33"/>
      <c r="F53" s="34"/>
      <c r="G53" s="34"/>
      <c r="H53" s="34"/>
      <c r="I53" s="34"/>
      <c r="J53" s="35"/>
      <c r="K53" s="5"/>
      <c r="L53" s="5"/>
      <c r="M53" s="5"/>
      <c r="N53" s="5"/>
      <c r="O53" s="5"/>
      <c r="P53" s="5"/>
      <c r="Q53" s="5"/>
      <c r="R53" s="5"/>
    </row>
    <row r="54" spans="3:18" hidden="1" x14ac:dyDescent="0.25">
      <c r="C54" s="5"/>
      <c r="D54" s="5"/>
      <c r="E54" s="33"/>
      <c r="F54" s="34"/>
      <c r="G54" s="34"/>
      <c r="H54" s="34"/>
      <c r="I54" s="34"/>
      <c r="J54" s="35"/>
      <c r="K54" s="5"/>
      <c r="L54" s="5"/>
      <c r="M54" s="5"/>
      <c r="N54" s="5"/>
      <c r="O54" s="5"/>
      <c r="P54" s="5"/>
      <c r="Q54" s="5"/>
      <c r="R54" s="5"/>
    </row>
    <row r="55" spans="3:18" hidden="1" x14ac:dyDescent="0.25">
      <c r="C55" s="5"/>
      <c r="D55" s="5"/>
      <c r="E55" s="33"/>
      <c r="F55" s="34"/>
      <c r="G55" s="34"/>
      <c r="H55" s="34"/>
      <c r="I55" s="34"/>
      <c r="J55" s="35"/>
      <c r="K55" s="5"/>
      <c r="L55" s="5"/>
      <c r="M55" s="5"/>
      <c r="N55" s="5"/>
      <c r="O55" s="5"/>
      <c r="P55" s="5"/>
      <c r="Q55" s="5"/>
      <c r="R55" s="5"/>
    </row>
    <row r="56" spans="3:18" hidden="1" x14ac:dyDescent="0.25">
      <c r="C56" s="5"/>
      <c r="D56" s="5"/>
      <c r="E56" s="33"/>
      <c r="F56" s="34"/>
      <c r="G56" s="34"/>
      <c r="H56" s="34"/>
      <c r="I56" s="34"/>
      <c r="J56" s="35"/>
      <c r="K56" s="5"/>
      <c r="L56" s="5"/>
      <c r="M56" s="5"/>
      <c r="N56" s="5"/>
      <c r="O56" s="5"/>
      <c r="P56" s="5"/>
      <c r="Q56" s="5"/>
      <c r="R56" s="5"/>
    </row>
    <row r="57" spans="3:18" hidden="1" x14ac:dyDescent="0.25">
      <c r="C57" s="5"/>
      <c r="D57" s="5"/>
      <c r="E57" s="33"/>
      <c r="F57" s="34"/>
      <c r="G57" s="34"/>
      <c r="H57" s="34"/>
      <c r="I57" s="34"/>
      <c r="J57" s="35"/>
      <c r="K57" s="5"/>
      <c r="L57" s="5"/>
      <c r="M57" s="5"/>
      <c r="N57" s="5"/>
      <c r="O57" s="5"/>
      <c r="P57" s="5"/>
      <c r="Q57" s="5"/>
      <c r="R57" s="5"/>
    </row>
    <row r="58" spans="3:18" hidden="1" x14ac:dyDescent="0.25">
      <c r="C58" s="5"/>
      <c r="D58" s="5"/>
      <c r="E58" s="33"/>
      <c r="F58" s="34"/>
      <c r="G58" s="34"/>
      <c r="H58" s="34"/>
      <c r="I58" s="34"/>
      <c r="J58" s="35"/>
      <c r="K58" s="5"/>
      <c r="L58" s="5"/>
      <c r="M58" s="5"/>
      <c r="N58" s="5"/>
      <c r="O58" s="5"/>
      <c r="P58" s="5"/>
      <c r="Q58" s="5"/>
      <c r="R58" s="5"/>
    </row>
    <row r="59" spans="3:18" hidden="1" x14ac:dyDescent="0.25">
      <c r="C59" s="5"/>
      <c r="D59" s="5"/>
      <c r="E59" s="33"/>
      <c r="F59" s="34"/>
      <c r="G59" s="34"/>
      <c r="H59" s="34"/>
      <c r="I59" s="34"/>
      <c r="J59" s="35"/>
      <c r="K59" s="5"/>
      <c r="L59" s="5"/>
      <c r="M59" s="5"/>
      <c r="N59" s="5"/>
      <c r="O59" s="5"/>
      <c r="P59" s="5"/>
      <c r="Q59" s="5"/>
      <c r="R59" s="5"/>
    </row>
    <row r="60" spans="3:18" hidden="1" x14ac:dyDescent="0.25">
      <c r="C60" s="5"/>
      <c r="D60" s="5"/>
      <c r="E60" s="33"/>
      <c r="F60" s="34"/>
      <c r="G60" s="34"/>
      <c r="H60" s="34"/>
      <c r="I60" s="34"/>
      <c r="J60" s="35"/>
      <c r="K60" s="5"/>
      <c r="L60" s="5"/>
      <c r="M60" s="5"/>
      <c r="N60" s="5"/>
      <c r="O60" s="5"/>
      <c r="P60" s="5"/>
      <c r="Q60" s="5"/>
      <c r="R60" s="5"/>
    </row>
    <row r="61" spans="3:18" hidden="1" x14ac:dyDescent="0.25">
      <c r="C61" s="5"/>
      <c r="D61" s="5"/>
      <c r="E61" s="33"/>
      <c r="F61" s="34"/>
      <c r="G61" s="34"/>
      <c r="H61" s="34"/>
      <c r="I61" s="34"/>
      <c r="J61" s="35"/>
      <c r="K61" s="5"/>
      <c r="L61" s="5"/>
      <c r="M61" s="5"/>
      <c r="N61" s="5"/>
      <c r="O61" s="5"/>
      <c r="P61" s="5"/>
      <c r="Q61" s="5"/>
      <c r="R61" s="5"/>
    </row>
    <row r="62" spans="3:18" hidden="1" x14ac:dyDescent="0.25">
      <c r="C62" s="5"/>
      <c r="D62" s="5"/>
      <c r="E62" s="33"/>
      <c r="F62" s="34"/>
      <c r="G62" s="34"/>
      <c r="H62" s="34"/>
      <c r="I62" s="34"/>
      <c r="J62" s="35"/>
      <c r="K62" s="5"/>
      <c r="L62" s="5"/>
      <c r="M62" s="5"/>
      <c r="N62" s="5"/>
      <c r="O62" s="5"/>
      <c r="P62" s="5"/>
      <c r="Q62" s="5"/>
      <c r="R62" s="5"/>
    </row>
    <row r="63" spans="3:18" hidden="1" x14ac:dyDescent="0.25">
      <c r="C63" s="5"/>
      <c r="D63" s="5"/>
      <c r="E63" s="33"/>
      <c r="F63" s="34"/>
      <c r="G63" s="34"/>
      <c r="H63" s="34"/>
      <c r="I63" s="34"/>
      <c r="J63" s="35"/>
      <c r="K63" s="5"/>
      <c r="L63" s="5"/>
      <c r="M63" s="5"/>
      <c r="N63" s="5"/>
      <c r="O63" s="5"/>
      <c r="P63" s="5"/>
      <c r="Q63" s="5"/>
      <c r="R63" s="5"/>
    </row>
    <row r="64" spans="3:18" ht="15.75" hidden="1" thickBot="1" x14ac:dyDescent="0.3">
      <c r="C64" s="5"/>
      <c r="D64" s="5"/>
      <c r="E64" s="33"/>
      <c r="F64" s="34"/>
      <c r="G64" s="34"/>
      <c r="H64" s="34"/>
      <c r="I64" s="34"/>
      <c r="J64" s="35"/>
      <c r="K64" s="5"/>
      <c r="L64" s="5"/>
      <c r="M64" s="5"/>
      <c r="N64" s="5"/>
      <c r="O64" s="5"/>
      <c r="P64" s="5"/>
      <c r="Q64" s="5"/>
      <c r="R64" s="5"/>
    </row>
    <row r="65" spans="3:18" ht="15.75" hidden="1" thickBot="1" x14ac:dyDescent="0.3">
      <c r="C65" s="5"/>
      <c r="D65" s="5"/>
      <c r="E65" s="38" t="s">
        <v>32</v>
      </c>
      <c r="F65" s="12"/>
      <c r="G65" s="12"/>
      <c r="H65" s="12"/>
      <c r="I65" s="12"/>
      <c r="J65" s="13"/>
      <c r="K65" s="5"/>
      <c r="L65" s="5"/>
      <c r="M65" s="5"/>
      <c r="N65" s="5"/>
      <c r="O65" s="5"/>
      <c r="P65" s="5"/>
      <c r="Q65" s="5"/>
      <c r="R65" s="5"/>
    </row>
    <row r="66" spans="3:18" hidden="1" x14ac:dyDescent="0.25">
      <c r="C66" s="5"/>
      <c r="D66" s="5"/>
      <c r="E66" s="39" t="s">
        <v>33</v>
      </c>
      <c r="F66" s="24" t="s">
        <v>37</v>
      </c>
      <c r="G66" s="23"/>
      <c r="H66" s="24" t="s">
        <v>42</v>
      </c>
      <c r="I66" s="23"/>
      <c r="J66" s="13"/>
      <c r="K66" s="5"/>
      <c r="L66" s="5"/>
      <c r="M66" s="5"/>
      <c r="N66" s="5"/>
      <c r="O66" s="5"/>
      <c r="P66" s="5"/>
      <c r="Q66" s="5"/>
      <c r="R66" s="5"/>
    </row>
    <row r="67" spans="3:18" hidden="1" x14ac:dyDescent="0.25">
      <c r="C67" s="5"/>
      <c r="D67" s="5"/>
      <c r="E67" s="40" t="s">
        <v>34</v>
      </c>
      <c r="F67" s="12"/>
      <c r="G67" s="12"/>
      <c r="H67" s="12"/>
      <c r="I67" s="12"/>
      <c r="J67" s="13"/>
      <c r="K67" s="5"/>
      <c r="L67" s="5"/>
      <c r="M67" s="5"/>
      <c r="N67" s="5"/>
      <c r="O67" s="5"/>
      <c r="P67" s="5"/>
      <c r="Q67" s="5"/>
      <c r="R67" s="5"/>
    </row>
    <row r="68" spans="3:18" hidden="1" x14ac:dyDescent="0.25">
      <c r="C68" s="5"/>
      <c r="D68" s="5"/>
      <c r="E68" s="40" t="s">
        <v>35</v>
      </c>
      <c r="F68" s="24" t="s">
        <v>38</v>
      </c>
      <c r="G68" s="23"/>
      <c r="H68" s="24" t="s">
        <v>41</v>
      </c>
      <c r="I68" s="23"/>
      <c r="J68" s="13"/>
      <c r="K68" s="5"/>
      <c r="L68" s="5"/>
      <c r="M68" s="5"/>
      <c r="N68" s="5"/>
      <c r="O68" s="5"/>
      <c r="P68" s="5"/>
      <c r="Q68" s="5"/>
      <c r="R68" s="5"/>
    </row>
    <row r="69" spans="3:18" hidden="1" x14ac:dyDescent="0.25">
      <c r="C69" s="5"/>
      <c r="D69" s="5"/>
      <c r="E69" s="40" t="s">
        <v>36</v>
      </c>
      <c r="F69" s="12"/>
      <c r="G69" s="12"/>
      <c r="H69" s="12"/>
      <c r="I69" s="12"/>
      <c r="J69" s="13"/>
      <c r="K69" s="5"/>
      <c r="L69" s="5"/>
      <c r="M69" s="5"/>
      <c r="N69" s="5"/>
      <c r="O69" s="5"/>
      <c r="P69" s="5"/>
      <c r="Q69" s="5"/>
      <c r="R69" s="5"/>
    </row>
    <row r="70" spans="3:18" hidden="1" x14ac:dyDescent="0.25">
      <c r="C70" s="5"/>
      <c r="D70" s="5"/>
      <c r="E70" s="36"/>
      <c r="F70" s="24" t="s">
        <v>39</v>
      </c>
      <c r="G70" s="23"/>
      <c r="H70" s="24" t="s">
        <v>40</v>
      </c>
      <c r="I70" s="23"/>
      <c r="J70" s="13"/>
      <c r="K70" s="5"/>
      <c r="L70" s="5"/>
      <c r="M70" s="5"/>
      <c r="N70" s="5"/>
      <c r="O70" s="5"/>
      <c r="P70" s="5"/>
      <c r="Q70" s="5"/>
      <c r="R70" s="5"/>
    </row>
    <row r="71" spans="3:18" hidden="1" x14ac:dyDescent="0.25">
      <c r="C71" s="5"/>
      <c r="D71" s="5"/>
      <c r="E71" s="36"/>
      <c r="F71" s="12"/>
      <c r="G71" s="12"/>
      <c r="H71" s="12"/>
      <c r="I71" s="12"/>
      <c r="J71" s="13"/>
      <c r="K71" s="5"/>
      <c r="L71" s="5"/>
      <c r="M71" s="5"/>
      <c r="N71" s="5"/>
      <c r="O71" s="5"/>
      <c r="P71" s="5"/>
      <c r="Q71" s="5"/>
      <c r="R71" s="5"/>
    </row>
    <row r="72" spans="3:18" hidden="1" x14ac:dyDescent="0.25">
      <c r="C72" s="5"/>
      <c r="D72" s="5"/>
      <c r="E72" s="36"/>
      <c r="F72" s="12"/>
      <c r="G72" s="12"/>
      <c r="H72" s="12"/>
      <c r="I72" s="12"/>
      <c r="J72" s="13"/>
      <c r="K72" s="5"/>
      <c r="L72" s="5"/>
      <c r="M72" s="5"/>
      <c r="N72" s="5"/>
      <c r="O72" s="5"/>
      <c r="P72" s="5"/>
      <c r="Q72" s="5"/>
      <c r="R72" s="5"/>
    </row>
    <row r="73" spans="3:18" hidden="1" x14ac:dyDescent="0.25">
      <c r="C73" s="5"/>
      <c r="D73" s="5"/>
      <c r="E73" s="36"/>
      <c r="F73" s="12"/>
      <c r="G73" s="12"/>
      <c r="H73" s="12"/>
      <c r="I73" s="12"/>
      <c r="J73" s="13"/>
      <c r="K73" s="5"/>
      <c r="L73" s="5"/>
      <c r="M73" s="5"/>
      <c r="N73" s="5"/>
      <c r="O73" s="5"/>
      <c r="P73" s="5"/>
      <c r="Q73" s="5"/>
      <c r="R73" s="5"/>
    </row>
    <row r="74" spans="3:18" hidden="1" x14ac:dyDescent="0.25">
      <c r="C74" s="5"/>
      <c r="D74" s="5"/>
      <c r="E74" s="36"/>
      <c r="F74" s="12"/>
      <c r="G74" s="12"/>
      <c r="H74" s="12"/>
      <c r="I74" s="12"/>
      <c r="J74" s="13"/>
      <c r="K74" s="5"/>
      <c r="L74" s="5"/>
      <c r="M74" s="5"/>
      <c r="N74" s="5"/>
      <c r="O74" s="5"/>
      <c r="P74" s="5"/>
      <c r="Q74" s="5"/>
      <c r="R74" s="5"/>
    </row>
    <row r="75" spans="3:18" hidden="1" x14ac:dyDescent="0.25">
      <c r="C75" s="5"/>
      <c r="D75" s="5"/>
      <c r="E75" s="36"/>
      <c r="F75" s="12"/>
      <c r="G75" s="12"/>
      <c r="H75" s="12"/>
      <c r="I75" s="12"/>
      <c r="J75" s="13"/>
      <c r="K75" s="5"/>
      <c r="L75" s="5"/>
      <c r="M75" s="5"/>
      <c r="N75" s="5"/>
      <c r="O75" s="5"/>
      <c r="P75" s="5"/>
      <c r="Q75" s="5"/>
      <c r="R75" s="5"/>
    </row>
    <row r="76" spans="3:18" hidden="1" x14ac:dyDescent="0.25">
      <c r="C76" s="5"/>
      <c r="D76" s="5"/>
      <c r="E76" s="36"/>
      <c r="F76" s="12"/>
      <c r="G76" s="12"/>
      <c r="H76" s="12"/>
      <c r="I76" s="12"/>
      <c r="J76" s="13"/>
      <c r="K76" s="5"/>
      <c r="L76" s="5"/>
      <c r="M76" s="5"/>
      <c r="N76" s="5"/>
      <c r="O76" s="5"/>
      <c r="P76" s="5"/>
      <c r="Q76" s="5"/>
      <c r="R76" s="5"/>
    </row>
    <row r="77" spans="3:18" hidden="1" x14ac:dyDescent="0.25">
      <c r="C77" s="5"/>
      <c r="D77" s="5"/>
      <c r="E77" s="36"/>
      <c r="F77" s="12"/>
      <c r="G77" s="12"/>
      <c r="H77" s="12"/>
      <c r="I77" s="12"/>
      <c r="J77" s="13"/>
      <c r="K77" s="5"/>
      <c r="L77" s="5"/>
      <c r="M77" s="5"/>
      <c r="N77" s="5"/>
      <c r="O77" s="5"/>
      <c r="P77" s="5"/>
      <c r="Q77" s="5"/>
      <c r="R77" s="5"/>
    </row>
    <row r="78" spans="3:18" hidden="1" x14ac:dyDescent="0.25">
      <c r="C78" s="5"/>
      <c r="D78" s="5"/>
      <c r="E78" s="36"/>
      <c r="F78" s="12"/>
      <c r="G78" s="12"/>
      <c r="H78" s="12"/>
      <c r="I78" s="12"/>
      <c r="J78" s="13"/>
      <c r="K78" s="5"/>
      <c r="L78" s="5"/>
      <c r="M78" s="5"/>
      <c r="N78" s="5"/>
      <c r="O78" s="5"/>
      <c r="P78" s="5"/>
      <c r="Q78" s="5"/>
      <c r="R78" s="5"/>
    </row>
    <row r="79" spans="3:18" hidden="1" x14ac:dyDescent="0.25">
      <c r="C79" s="5"/>
      <c r="D79" s="5"/>
      <c r="E79" s="36"/>
      <c r="F79" s="12"/>
      <c r="G79" s="12"/>
      <c r="H79" s="12"/>
      <c r="I79" s="12"/>
      <c r="J79" s="13"/>
      <c r="K79" s="5"/>
      <c r="L79" s="5"/>
      <c r="M79" s="5"/>
      <c r="N79" s="5"/>
      <c r="O79" s="5"/>
      <c r="P79" s="5"/>
      <c r="Q79" s="5"/>
      <c r="R79" s="5"/>
    </row>
    <row r="80" spans="3:18" hidden="1" x14ac:dyDescent="0.25">
      <c r="C80" s="5"/>
      <c r="D80" s="5"/>
      <c r="E80" s="36"/>
      <c r="F80" s="12"/>
      <c r="G80" s="12"/>
      <c r="H80" s="12"/>
      <c r="I80" s="12"/>
      <c r="J80" s="13"/>
      <c r="K80" s="5"/>
      <c r="L80" s="5"/>
      <c r="M80" s="5"/>
      <c r="N80" s="5"/>
      <c r="O80" s="5"/>
      <c r="P80" s="5"/>
      <c r="Q80" s="5"/>
      <c r="R80" s="5"/>
    </row>
    <row r="81" spans="3:18" hidden="1" x14ac:dyDescent="0.25">
      <c r="C81" s="5"/>
      <c r="D81" s="5"/>
      <c r="E81" s="36"/>
      <c r="F81" s="12"/>
      <c r="G81" s="12"/>
      <c r="H81" s="12"/>
      <c r="I81" s="12"/>
      <c r="J81" s="13"/>
      <c r="K81" s="5"/>
      <c r="L81" s="5"/>
      <c r="M81" s="5"/>
      <c r="N81" s="5"/>
      <c r="O81" s="5"/>
      <c r="P81" s="5"/>
      <c r="Q81" s="5"/>
      <c r="R81" s="5"/>
    </row>
    <row r="82" spans="3:18" hidden="1" x14ac:dyDescent="0.25">
      <c r="C82" s="5"/>
      <c r="D82" s="5"/>
      <c r="E82" s="36"/>
      <c r="F82" s="12"/>
      <c r="G82" s="12"/>
      <c r="H82" s="12"/>
      <c r="I82" s="12"/>
      <c r="J82" s="13"/>
      <c r="K82" s="5"/>
      <c r="L82" s="5"/>
      <c r="M82" s="5"/>
      <c r="N82" s="5"/>
      <c r="O82" s="5"/>
      <c r="P82" s="5"/>
      <c r="Q82" s="5"/>
      <c r="R82" s="5"/>
    </row>
    <row r="83" spans="3:18" hidden="1" x14ac:dyDescent="0.25">
      <c r="C83" s="5"/>
      <c r="D83" s="5"/>
      <c r="E83" s="36"/>
      <c r="F83" s="12"/>
      <c r="G83" s="12"/>
      <c r="H83" s="12"/>
      <c r="I83" s="12"/>
      <c r="J83" s="13"/>
      <c r="K83" s="5"/>
      <c r="L83" s="5"/>
      <c r="M83" s="5"/>
      <c r="N83" s="5"/>
      <c r="O83" s="5"/>
      <c r="P83" s="5"/>
      <c r="Q83" s="5"/>
      <c r="R83" s="5"/>
    </row>
    <row r="84" spans="3:18" ht="15.75" hidden="1" thickBot="1" x14ac:dyDescent="0.3">
      <c r="C84" s="5"/>
      <c r="D84" s="5"/>
      <c r="E84" s="37"/>
      <c r="F84" s="15"/>
      <c r="G84" s="15"/>
      <c r="H84" s="15"/>
      <c r="I84" s="15"/>
      <c r="J84" s="16"/>
      <c r="K84" s="5"/>
      <c r="L84" s="5"/>
      <c r="M84" s="5"/>
      <c r="N84" s="5"/>
      <c r="O84" s="5"/>
      <c r="P84" s="5"/>
      <c r="Q84" s="5"/>
      <c r="R84" s="5"/>
    </row>
    <row r="85" spans="3:18" ht="15.75" hidden="1" thickBot="1" x14ac:dyDescent="0.3">
      <c r="C85" s="5"/>
      <c r="D85" s="5"/>
      <c r="E85" s="38" t="s">
        <v>32</v>
      </c>
      <c r="F85" s="12"/>
      <c r="G85" s="12"/>
      <c r="H85" s="12"/>
      <c r="I85" s="12"/>
      <c r="J85" s="13"/>
      <c r="K85" s="5"/>
      <c r="L85" s="5"/>
      <c r="M85" s="5"/>
      <c r="N85" s="5"/>
      <c r="O85" s="5"/>
      <c r="P85" s="5"/>
      <c r="Q85" s="5"/>
      <c r="R85" s="5"/>
    </row>
    <row r="86" spans="3:18" hidden="1" x14ac:dyDescent="0.25">
      <c r="C86" s="5"/>
      <c r="D86" s="5"/>
      <c r="E86" s="39" t="s">
        <v>33</v>
      </c>
      <c r="F86" s="24" t="s">
        <v>43</v>
      </c>
      <c r="G86" s="23"/>
      <c r="H86" s="24" t="s">
        <v>45</v>
      </c>
      <c r="I86" s="23"/>
      <c r="J86" s="13"/>
      <c r="K86" s="5"/>
      <c r="L86" s="5"/>
      <c r="M86" s="5"/>
      <c r="N86" s="5"/>
      <c r="O86" s="5"/>
      <c r="P86" s="5"/>
      <c r="Q86" s="5"/>
      <c r="R86" s="5"/>
    </row>
    <row r="87" spans="3:18" hidden="1" x14ac:dyDescent="0.25">
      <c r="C87" s="5"/>
      <c r="D87" s="5"/>
      <c r="E87" s="40" t="s">
        <v>34</v>
      </c>
      <c r="F87" s="12"/>
      <c r="G87" s="12"/>
      <c r="H87" s="12"/>
      <c r="I87" s="12"/>
      <c r="J87" s="13"/>
      <c r="K87" s="5"/>
      <c r="L87" s="5"/>
      <c r="M87" s="5"/>
      <c r="N87" s="5"/>
      <c r="O87" s="5"/>
      <c r="P87" s="5"/>
      <c r="Q87" s="5"/>
      <c r="R87" s="5"/>
    </row>
    <row r="88" spans="3:18" hidden="1" x14ac:dyDescent="0.25">
      <c r="C88" s="5"/>
      <c r="D88" s="5"/>
      <c r="E88" s="40" t="s">
        <v>35</v>
      </c>
      <c r="F88" s="24" t="s">
        <v>44</v>
      </c>
      <c r="G88" s="23"/>
      <c r="H88" s="24"/>
      <c r="I88" s="23"/>
      <c r="J88" s="13"/>
      <c r="K88" s="5"/>
      <c r="L88" s="5"/>
      <c r="M88" s="5"/>
      <c r="N88" s="5"/>
      <c r="O88" s="5"/>
      <c r="P88" s="5"/>
      <c r="Q88" s="5"/>
      <c r="R88" s="5"/>
    </row>
    <row r="89" spans="3:18" hidden="1" x14ac:dyDescent="0.25">
      <c r="C89" s="5"/>
      <c r="D89" s="5"/>
      <c r="E89" s="40" t="s">
        <v>36</v>
      </c>
      <c r="F89" s="12"/>
      <c r="G89" s="12"/>
      <c r="H89" s="12"/>
      <c r="I89" s="12"/>
      <c r="J89" s="13"/>
      <c r="K89" s="5"/>
      <c r="L89" s="5"/>
      <c r="M89" s="5"/>
      <c r="N89" s="5"/>
      <c r="O89" s="5"/>
      <c r="P89" s="5"/>
      <c r="Q89" s="5"/>
      <c r="R89" s="5"/>
    </row>
    <row r="90" spans="3:18" ht="15.75" hidden="1" thickBot="1" x14ac:dyDescent="0.3">
      <c r="C90" s="5"/>
      <c r="D90" s="5"/>
      <c r="E90" s="36"/>
      <c r="F90" s="12"/>
      <c r="G90" s="12"/>
      <c r="H90" s="12"/>
      <c r="I90" s="12"/>
      <c r="J90" s="13"/>
      <c r="K90" s="5"/>
      <c r="L90" s="5"/>
      <c r="M90" s="5"/>
      <c r="N90" s="5"/>
      <c r="O90" s="5"/>
      <c r="P90" s="5"/>
      <c r="Q90" s="5"/>
      <c r="R90" s="5"/>
    </row>
    <row r="91" spans="3:18" hidden="1" x14ac:dyDescent="0.25">
      <c r="C91" s="5"/>
      <c r="D91" s="5"/>
      <c r="E91" s="36"/>
      <c r="F91" s="104" t="s">
        <v>50</v>
      </c>
      <c r="G91" s="105"/>
      <c r="H91" s="105"/>
      <c r="I91" s="106"/>
      <c r="J91" s="41"/>
      <c r="K91" s="5"/>
      <c r="L91" s="5"/>
      <c r="M91" s="5"/>
      <c r="N91" s="5"/>
      <c r="O91" s="5"/>
      <c r="P91" s="5"/>
      <c r="Q91" s="5"/>
      <c r="R91" s="5"/>
    </row>
    <row r="92" spans="3:18" hidden="1" x14ac:dyDescent="0.25">
      <c r="C92" s="5"/>
      <c r="D92" s="5"/>
      <c r="E92" s="36"/>
      <c r="F92" s="47" t="s">
        <v>46</v>
      </c>
      <c r="G92" s="48" t="s">
        <v>47</v>
      </c>
      <c r="H92" s="48" t="s">
        <v>48</v>
      </c>
      <c r="I92" s="49" t="s">
        <v>49</v>
      </c>
      <c r="J92" s="13"/>
      <c r="K92" s="5"/>
      <c r="L92" s="5"/>
      <c r="M92" s="5"/>
      <c r="N92" s="5"/>
      <c r="O92" s="5"/>
      <c r="P92" s="5"/>
      <c r="Q92" s="5"/>
      <c r="R92" s="5"/>
    </row>
    <row r="93" spans="3:18" hidden="1" x14ac:dyDescent="0.25">
      <c r="C93" s="5"/>
      <c r="D93" s="5"/>
      <c r="E93" s="36"/>
      <c r="F93" s="42"/>
      <c r="G93" s="31"/>
      <c r="H93" s="31"/>
      <c r="I93" s="32"/>
      <c r="J93" s="13"/>
      <c r="K93" s="5"/>
      <c r="L93" s="5"/>
      <c r="M93" s="5"/>
      <c r="N93" s="5"/>
      <c r="O93" s="5"/>
      <c r="P93" s="5"/>
      <c r="Q93" s="5"/>
      <c r="R93" s="5"/>
    </row>
    <row r="94" spans="3:18" hidden="1" x14ac:dyDescent="0.25">
      <c r="C94" s="5"/>
      <c r="D94" s="5"/>
      <c r="E94" s="36"/>
      <c r="F94" s="43"/>
      <c r="G94" s="34"/>
      <c r="H94" s="34"/>
      <c r="I94" s="35"/>
      <c r="J94" s="13"/>
      <c r="K94" s="5"/>
      <c r="L94" s="5"/>
      <c r="M94" s="5"/>
      <c r="N94" s="5"/>
      <c r="O94" s="5"/>
      <c r="P94" s="5"/>
      <c r="Q94" s="5"/>
      <c r="R94" s="5"/>
    </row>
    <row r="95" spans="3:18" hidden="1" x14ac:dyDescent="0.25">
      <c r="C95" s="5"/>
      <c r="D95" s="5"/>
      <c r="E95" s="36"/>
      <c r="F95" s="43"/>
      <c r="G95" s="34"/>
      <c r="H95" s="34"/>
      <c r="I95" s="35"/>
      <c r="J95" s="13"/>
      <c r="K95" s="5"/>
      <c r="L95" s="5"/>
      <c r="M95" s="5"/>
      <c r="N95" s="5"/>
      <c r="O95" s="5"/>
      <c r="P95" s="5"/>
      <c r="Q95" s="5"/>
      <c r="R95" s="5"/>
    </row>
    <row r="96" spans="3:18" hidden="1" x14ac:dyDescent="0.25">
      <c r="C96" s="5"/>
      <c r="D96" s="5"/>
      <c r="E96" s="36"/>
      <c r="F96" s="43"/>
      <c r="G96" s="34"/>
      <c r="H96" s="34"/>
      <c r="I96" s="35"/>
      <c r="J96" s="13"/>
      <c r="K96" s="5"/>
      <c r="L96" s="5"/>
      <c r="M96" s="5"/>
      <c r="N96" s="5"/>
      <c r="O96" s="5"/>
      <c r="P96" s="5"/>
      <c r="Q96" s="5"/>
      <c r="R96" s="5"/>
    </row>
    <row r="97" spans="3:18" hidden="1" x14ac:dyDescent="0.25">
      <c r="C97" s="5"/>
      <c r="D97" s="5"/>
      <c r="E97" s="36"/>
      <c r="F97" s="43"/>
      <c r="G97" s="34"/>
      <c r="H97" s="34"/>
      <c r="I97" s="35"/>
      <c r="J97" s="13"/>
      <c r="K97" s="5"/>
      <c r="L97" s="5"/>
      <c r="M97" s="5"/>
      <c r="N97" s="5"/>
      <c r="O97" s="5"/>
      <c r="P97" s="5"/>
      <c r="Q97" s="5"/>
      <c r="R97" s="5"/>
    </row>
    <row r="98" spans="3:18" hidden="1" x14ac:dyDescent="0.25">
      <c r="C98" s="5"/>
      <c r="D98" s="5"/>
      <c r="E98" s="36"/>
      <c r="F98" s="43"/>
      <c r="G98" s="34"/>
      <c r="H98" s="34"/>
      <c r="I98" s="35"/>
      <c r="J98" s="13"/>
      <c r="K98" s="5"/>
      <c r="L98" s="5"/>
      <c r="M98" s="5"/>
      <c r="N98" s="5"/>
      <c r="O98" s="5"/>
      <c r="P98" s="5"/>
      <c r="Q98" s="5"/>
      <c r="R98" s="5"/>
    </row>
    <row r="99" spans="3:18" hidden="1" x14ac:dyDescent="0.25">
      <c r="C99" s="5"/>
      <c r="D99" s="5"/>
      <c r="E99" s="36"/>
      <c r="F99" s="43"/>
      <c r="G99" s="34"/>
      <c r="H99" s="34"/>
      <c r="I99" s="35"/>
      <c r="J99" s="13"/>
      <c r="K99" s="5"/>
      <c r="L99" s="5"/>
      <c r="M99" s="5"/>
      <c r="N99" s="5"/>
      <c r="O99" s="5"/>
      <c r="P99" s="5"/>
      <c r="Q99" s="5"/>
      <c r="R99" s="5"/>
    </row>
    <row r="100" spans="3:18" hidden="1" x14ac:dyDescent="0.25">
      <c r="C100" s="5"/>
      <c r="D100" s="5"/>
      <c r="E100" s="36"/>
      <c r="F100" s="43"/>
      <c r="G100" s="34"/>
      <c r="H100" s="34"/>
      <c r="I100" s="35"/>
      <c r="J100" s="13"/>
      <c r="K100" s="5"/>
      <c r="L100" s="5"/>
      <c r="M100" s="5"/>
      <c r="N100" s="5"/>
      <c r="O100" s="5"/>
      <c r="P100" s="5"/>
      <c r="Q100" s="5"/>
      <c r="R100" s="5"/>
    </row>
    <row r="101" spans="3:18" hidden="1" x14ac:dyDescent="0.25">
      <c r="C101" s="5"/>
      <c r="D101" s="5"/>
      <c r="E101" s="36"/>
      <c r="F101" s="43"/>
      <c r="G101" s="34"/>
      <c r="H101" s="34"/>
      <c r="I101" s="35"/>
      <c r="J101" s="13"/>
      <c r="K101" s="5"/>
      <c r="L101" s="5"/>
      <c r="M101" s="5"/>
      <c r="N101" s="5"/>
      <c r="O101" s="5"/>
      <c r="P101" s="5"/>
      <c r="Q101" s="5"/>
      <c r="R101" s="5"/>
    </row>
    <row r="102" spans="3:18" hidden="1" x14ac:dyDescent="0.25">
      <c r="C102" s="5"/>
      <c r="D102" s="5"/>
      <c r="E102" s="36"/>
      <c r="F102" s="43"/>
      <c r="G102" s="34"/>
      <c r="H102" s="34"/>
      <c r="I102" s="35"/>
      <c r="J102" s="13"/>
      <c r="K102" s="5"/>
      <c r="L102" s="5"/>
      <c r="M102" s="5"/>
      <c r="N102" s="5"/>
      <c r="O102" s="5"/>
      <c r="P102" s="5"/>
      <c r="Q102" s="5"/>
      <c r="R102" s="5"/>
    </row>
    <row r="103" spans="3:18" hidden="1" x14ac:dyDescent="0.25">
      <c r="C103" s="5"/>
      <c r="D103" s="5"/>
      <c r="E103" s="36"/>
      <c r="F103" s="43"/>
      <c r="G103" s="34"/>
      <c r="H103" s="34"/>
      <c r="I103" s="35"/>
      <c r="J103" s="13"/>
      <c r="K103" s="5"/>
      <c r="L103" s="5"/>
      <c r="M103" s="5"/>
      <c r="N103" s="5"/>
      <c r="O103" s="5"/>
      <c r="P103" s="5"/>
      <c r="Q103" s="5"/>
      <c r="R103" s="5"/>
    </row>
    <row r="104" spans="3:18" ht="15.75" hidden="1" thickBot="1" x14ac:dyDescent="0.3">
      <c r="C104" s="5"/>
      <c r="D104" s="5"/>
      <c r="E104" s="37"/>
      <c r="F104" s="44"/>
      <c r="G104" s="45"/>
      <c r="H104" s="45"/>
      <c r="I104" s="46"/>
      <c r="J104" s="16"/>
      <c r="K104" s="5"/>
      <c r="L104" s="5"/>
      <c r="M104" s="5"/>
      <c r="N104" s="5"/>
      <c r="O104" s="5"/>
      <c r="P104" s="5"/>
      <c r="Q104" s="5"/>
      <c r="R104" s="5"/>
    </row>
    <row r="105" spans="3:18" ht="15.75" hidden="1" thickBot="1" x14ac:dyDescent="0.3">
      <c r="C105" s="5"/>
      <c r="D105" s="5"/>
      <c r="E105" s="38" t="s">
        <v>32</v>
      </c>
      <c r="F105" s="12"/>
      <c r="G105" s="12"/>
      <c r="H105" s="12"/>
      <c r="I105" s="12"/>
      <c r="J105" s="13"/>
      <c r="K105" s="5"/>
      <c r="L105" s="5"/>
      <c r="M105" s="5"/>
      <c r="N105" s="5"/>
      <c r="O105" s="5"/>
      <c r="P105" s="5"/>
      <c r="Q105" s="5"/>
      <c r="R105" s="5"/>
    </row>
    <row r="106" spans="3:18" hidden="1" x14ac:dyDescent="0.25">
      <c r="C106" s="5"/>
      <c r="D106" s="5"/>
      <c r="E106" s="39" t="s">
        <v>33</v>
      </c>
      <c r="F106" s="104" t="s">
        <v>51</v>
      </c>
      <c r="G106" s="105"/>
      <c r="H106" s="105"/>
      <c r="I106" s="106"/>
      <c r="J106" s="13"/>
      <c r="K106" s="5"/>
      <c r="L106" s="5"/>
      <c r="M106" s="5"/>
      <c r="N106" s="5"/>
      <c r="O106" s="5"/>
      <c r="P106" s="5"/>
      <c r="Q106" s="5"/>
      <c r="R106" s="5"/>
    </row>
    <row r="107" spans="3:18" hidden="1" x14ac:dyDescent="0.25">
      <c r="C107" s="5"/>
      <c r="D107" s="5"/>
      <c r="E107" s="40" t="s">
        <v>34</v>
      </c>
      <c r="F107" s="47" t="s">
        <v>52</v>
      </c>
      <c r="G107" s="48" t="s">
        <v>53</v>
      </c>
      <c r="H107" s="48" t="s">
        <v>54</v>
      </c>
      <c r="I107" s="49" t="s">
        <v>55</v>
      </c>
      <c r="J107" s="13"/>
      <c r="K107" s="5"/>
      <c r="L107" s="5"/>
      <c r="M107" s="5"/>
      <c r="N107" s="5"/>
      <c r="O107" s="5"/>
      <c r="P107" s="5"/>
      <c r="Q107" s="5"/>
      <c r="R107" s="5"/>
    </row>
    <row r="108" spans="3:18" hidden="1" x14ac:dyDescent="0.25">
      <c r="C108" s="5"/>
      <c r="D108" s="5"/>
      <c r="E108" s="40" t="s">
        <v>35</v>
      </c>
      <c r="F108" s="42"/>
      <c r="G108" s="31"/>
      <c r="H108" s="31"/>
      <c r="I108" s="32"/>
      <c r="J108" s="13"/>
      <c r="K108" s="5"/>
      <c r="L108" s="5"/>
      <c r="M108" s="5"/>
      <c r="N108" s="5"/>
      <c r="O108" s="5"/>
      <c r="P108" s="5"/>
      <c r="Q108" s="5"/>
      <c r="R108" s="5"/>
    </row>
    <row r="109" spans="3:18" hidden="1" x14ac:dyDescent="0.25">
      <c r="C109" s="5"/>
      <c r="D109" s="5"/>
      <c r="E109" s="40" t="s">
        <v>36</v>
      </c>
      <c r="F109" s="43"/>
      <c r="G109" s="34"/>
      <c r="H109" s="34"/>
      <c r="I109" s="35"/>
      <c r="J109" s="13"/>
      <c r="K109" s="5"/>
      <c r="L109" s="5"/>
      <c r="M109" s="5"/>
      <c r="N109" s="5"/>
      <c r="O109" s="5"/>
      <c r="P109" s="5"/>
      <c r="Q109" s="5"/>
      <c r="R109" s="5"/>
    </row>
    <row r="110" spans="3:18" hidden="1" x14ac:dyDescent="0.25">
      <c r="C110" s="5"/>
      <c r="D110" s="5"/>
      <c r="E110" s="36"/>
      <c r="F110" s="43"/>
      <c r="G110" s="34"/>
      <c r="H110" s="34"/>
      <c r="I110" s="35"/>
      <c r="J110" s="13"/>
      <c r="K110" s="5"/>
      <c r="L110" s="5"/>
      <c r="M110" s="5"/>
      <c r="N110" s="5"/>
      <c r="O110" s="5"/>
      <c r="P110" s="5"/>
      <c r="Q110" s="5"/>
      <c r="R110" s="5"/>
    </row>
    <row r="111" spans="3:18" hidden="1" x14ac:dyDescent="0.25">
      <c r="C111" s="5"/>
      <c r="D111" s="5"/>
      <c r="E111" s="36"/>
      <c r="F111" s="43"/>
      <c r="G111" s="34"/>
      <c r="H111" s="34"/>
      <c r="I111" s="35"/>
      <c r="J111" s="13"/>
      <c r="K111" s="5"/>
      <c r="L111" s="5"/>
      <c r="M111" s="5"/>
      <c r="N111" s="5"/>
      <c r="O111" s="5"/>
      <c r="P111" s="5"/>
      <c r="Q111" s="5"/>
      <c r="R111" s="5"/>
    </row>
    <row r="112" spans="3:18" hidden="1" x14ac:dyDescent="0.25">
      <c r="C112" s="5"/>
      <c r="D112" s="5"/>
      <c r="E112" s="36"/>
      <c r="F112" s="43"/>
      <c r="G112" s="34"/>
      <c r="H112" s="34"/>
      <c r="I112" s="35"/>
      <c r="J112" s="13"/>
      <c r="K112" s="5"/>
      <c r="L112" s="5"/>
      <c r="M112" s="5"/>
      <c r="N112" s="5"/>
      <c r="O112" s="5"/>
      <c r="P112" s="5"/>
      <c r="Q112" s="5"/>
      <c r="R112" s="5"/>
    </row>
    <row r="113" spans="3:18" hidden="1" x14ac:dyDescent="0.25">
      <c r="C113" s="5"/>
      <c r="D113" s="5"/>
      <c r="E113" s="36"/>
      <c r="F113" s="43"/>
      <c r="G113" s="34"/>
      <c r="H113" s="34"/>
      <c r="I113" s="35"/>
      <c r="J113" s="13"/>
      <c r="K113" s="5"/>
      <c r="L113" s="5"/>
      <c r="M113" s="5"/>
      <c r="N113" s="5"/>
      <c r="O113" s="5"/>
      <c r="P113" s="5"/>
      <c r="Q113" s="5"/>
      <c r="R113" s="5"/>
    </row>
    <row r="114" spans="3:18" hidden="1" x14ac:dyDescent="0.25">
      <c r="C114" s="5"/>
      <c r="D114" s="5"/>
      <c r="E114" s="36"/>
      <c r="F114" s="43"/>
      <c r="G114" s="34"/>
      <c r="H114" s="34"/>
      <c r="I114" s="35"/>
      <c r="J114" s="13"/>
      <c r="K114" s="5"/>
      <c r="L114" s="5"/>
      <c r="M114" s="5"/>
      <c r="N114" s="5"/>
      <c r="O114" s="5"/>
      <c r="P114" s="5"/>
      <c r="Q114" s="5"/>
      <c r="R114" s="5"/>
    </row>
    <row r="115" spans="3:18" hidden="1" x14ac:dyDescent="0.25">
      <c r="C115" s="5"/>
      <c r="D115" s="5"/>
      <c r="E115" s="36"/>
      <c r="F115" s="43"/>
      <c r="G115" s="34"/>
      <c r="H115" s="34"/>
      <c r="I115" s="35"/>
      <c r="J115" s="13"/>
      <c r="K115" s="5"/>
      <c r="L115" s="5"/>
      <c r="M115" s="5"/>
      <c r="N115" s="5"/>
      <c r="O115" s="5"/>
      <c r="P115" s="5"/>
      <c r="Q115" s="5"/>
      <c r="R115" s="5"/>
    </row>
    <row r="116" spans="3:18" hidden="1" x14ac:dyDescent="0.25">
      <c r="C116" s="5"/>
      <c r="D116" s="5"/>
      <c r="E116" s="36"/>
      <c r="F116" s="43"/>
      <c r="G116" s="34"/>
      <c r="H116" s="34"/>
      <c r="I116" s="35"/>
      <c r="J116" s="13"/>
      <c r="K116" s="5"/>
      <c r="L116" s="5"/>
      <c r="M116" s="5"/>
      <c r="N116" s="5"/>
      <c r="O116" s="5"/>
      <c r="P116" s="5"/>
      <c r="Q116" s="5"/>
      <c r="R116" s="5"/>
    </row>
    <row r="117" spans="3:18" hidden="1" x14ac:dyDescent="0.25">
      <c r="C117" s="5"/>
      <c r="D117" s="5"/>
      <c r="E117" s="36"/>
      <c r="F117" s="43"/>
      <c r="G117" s="34"/>
      <c r="H117" s="34"/>
      <c r="I117" s="35"/>
      <c r="J117" s="13"/>
      <c r="K117" s="5"/>
      <c r="L117" s="5"/>
      <c r="M117" s="5"/>
      <c r="N117" s="5"/>
      <c r="O117" s="5"/>
      <c r="P117" s="5"/>
      <c r="Q117" s="5"/>
      <c r="R117" s="5"/>
    </row>
    <row r="118" spans="3:18" hidden="1" x14ac:dyDescent="0.25">
      <c r="C118" s="5"/>
      <c r="D118" s="5"/>
      <c r="E118" s="36"/>
      <c r="F118" s="43"/>
      <c r="G118" s="34"/>
      <c r="H118" s="34"/>
      <c r="I118" s="35"/>
      <c r="J118" s="13"/>
      <c r="K118" s="5"/>
      <c r="L118" s="5"/>
      <c r="M118" s="5"/>
      <c r="N118" s="5"/>
      <c r="O118" s="5"/>
      <c r="P118" s="5"/>
      <c r="Q118" s="5"/>
      <c r="R118" s="5"/>
    </row>
    <row r="119" spans="3:18" ht="15.75" hidden="1" thickBot="1" x14ac:dyDescent="0.3">
      <c r="C119" s="5"/>
      <c r="D119" s="5"/>
      <c r="E119" s="36"/>
      <c r="F119" s="44"/>
      <c r="G119" s="45"/>
      <c r="H119" s="45"/>
      <c r="I119" s="46"/>
      <c r="J119" s="13"/>
      <c r="K119" s="5"/>
      <c r="L119" s="5"/>
      <c r="M119" s="5"/>
      <c r="N119" s="5"/>
      <c r="O119" s="5"/>
      <c r="P119" s="5"/>
      <c r="Q119" s="5"/>
      <c r="R119" s="5"/>
    </row>
    <row r="120" spans="3:18" hidden="1" x14ac:dyDescent="0.25">
      <c r="C120" s="5"/>
      <c r="D120" s="5"/>
      <c r="E120" s="36"/>
      <c r="F120" s="12"/>
      <c r="G120" s="12"/>
      <c r="H120" s="12"/>
      <c r="I120" s="12"/>
      <c r="J120" s="13"/>
      <c r="K120" s="5"/>
      <c r="L120" s="5"/>
      <c r="M120" s="5"/>
      <c r="N120" s="5"/>
      <c r="O120" s="5"/>
      <c r="P120" s="5"/>
      <c r="Q120" s="5"/>
      <c r="R120" s="5"/>
    </row>
    <row r="121" spans="3:18" hidden="1" x14ac:dyDescent="0.25">
      <c r="C121" s="5"/>
      <c r="D121" s="5"/>
      <c r="E121" s="36"/>
      <c r="F121" s="12"/>
      <c r="G121" s="12"/>
      <c r="H121" s="12"/>
      <c r="I121" s="12"/>
      <c r="J121" s="13"/>
      <c r="K121" s="5"/>
      <c r="L121" s="5"/>
      <c r="M121" s="5"/>
      <c r="N121" s="5"/>
      <c r="O121" s="5"/>
      <c r="P121" s="5"/>
      <c r="Q121" s="5"/>
      <c r="R121" s="5"/>
    </row>
    <row r="122" spans="3:18" hidden="1" x14ac:dyDescent="0.25">
      <c r="C122" s="5"/>
      <c r="D122" s="5"/>
      <c r="E122" s="36"/>
      <c r="F122" s="12"/>
      <c r="G122" s="12"/>
      <c r="H122" s="12"/>
      <c r="I122" s="12"/>
      <c r="J122" s="13"/>
      <c r="K122" s="5"/>
      <c r="L122" s="5"/>
      <c r="M122" s="5"/>
      <c r="N122" s="5"/>
      <c r="O122" s="5"/>
      <c r="P122" s="5"/>
      <c r="Q122" s="5"/>
      <c r="R122" s="5"/>
    </row>
    <row r="123" spans="3:18" hidden="1" x14ac:dyDescent="0.25">
      <c r="C123" s="5"/>
      <c r="D123" s="5"/>
      <c r="E123" s="36"/>
      <c r="F123" s="12"/>
      <c r="G123" s="12"/>
      <c r="H123" s="12"/>
      <c r="I123" s="12"/>
      <c r="J123" s="13"/>
      <c r="K123" s="5"/>
      <c r="L123" s="5"/>
      <c r="M123" s="5"/>
      <c r="N123" s="5"/>
      <c r="O123" s="5"/>
      <c r="P123" s="5"/>
      <c r="Q123" s="5"/>
      <c r="R123" s="5"/>
    </row>
    <row r="124" spans="3:18" ht="15.75" hidden="1" thickBot="1" x14ac:dyDescent="0.3">
      <c r="C124" s="5"/>
      <c r="D124" s="5"/>
      <c r="E124" s="37"/>
      <c r="F124" s="15"/>
      <c r="G124" s="15"/>
      <c r="H124" s="15"/>
      <c r="I124" s="15"/>
      <c r="J124" s="16"/>
      <c r="K124" s="5"/>
      <c r="L124" s="5"/>
      <c r="M124" s="5"/>
      <c r="N124" s="5"/>
      <c r="O124" s="5"/>
      <c r="P124" s="5"/>
      <c r="Q124" s="5"/>
      <c r="R124" s="5"/>
    </row>
    <row r="125" spans="3:18" ht="15.75" hidden="1" thickBot="1" x14ac:dyDescent="0.3">
      <c r="C125" s="5"/>
      <c r="D125" s="5"/>
      <c r="E125" s="38" t="s">
        <v>32</v>
      </c>
      <c r="F125" s="12"/>
      <c r="G125" s="12"/>
      <c r="H125" s="12"/>
      <c r="I125" s="12"/>
      <c r="J125" s="13"/>
      <c r="K125" s="5"/>
      <c r="L125" s="5"/>
      <c r="M125" s="5"/>
      <c r="N125" s="5"/>
      <c r="O125" s="5"/>
      <c r="P125" s="5"/>
      <c r="Q125" s="5"/>
      <c r="R125" s="5"/>
    </row>
    <row r="126" spans="3:18" hidden="1" x14ac:dyDescent="0.25">
      <c r="C126" s="5"/>
      <c r="D126" s="5"/>
      <c r="E126" s="39" t="s">
        <v>33</v>
      </c>
      <c r="F126" s="104" t="s">
        <v>57</v>
      </c>
      <c r="G126" s="105"/>
      <c r="H126" s="105"/>
      <c r="I126" s="106"/>
      <c r="J126" s="13"/>
      <c r="K126" s="5"/>
      <c r="L126" s="5"/>
      <c r="M126" s="5"/>
      <c r="N126" s="5"/>
      <c r="O126" s="5"/>
      <c r="P126" s="5"/>
      <c r="Q126" s="5"/>
      <c r="R126" s="5"/>
    </row>
    <row r="127" spans="3:18" hidden="1" x14ac:dyDescent="0.25">
      <c r="C127" s="5"/>
      <c r="D127" s="5"/>
      <c r="E127" s="40" t="s">
        <v>34</v>
      </c>
      <c r="F127" s="47" t="s">
        <v>56</v>
      </c>
      <c r="G127" s="48" t="s">
        <v>53</v>
      </c>
      <c r="H127" s="48" t="s">
        <v>54</v>
      </c>
      <c r="I127" s="49" t="s">
        <v>55</v>
      </c>
      <c r="J127" s="13"/>
      <c r="K127" s="5"/>
      <c r="L127" s="5"/>
      <c r="M127" s="5"/>
      <c r="N127" s="5"/>
      <c r="O127" s="5"/>
      <c r="P127" s="5"/>
      <c r="Q127" s="5"/>
      <c r="R127" s="5"/>
    </row>
    <row r="128" spans="3:18" hidden="1" x14ac:dyDescent="0.25">
      <c r="C128" s="5"/>
      <c r="D128" s="5"/>
      <c r="E128" s="40" t="s">
        <v>35</v>
      </c>
      <c r="F128" s="42"/>
      <c r="G128" s="31"/>
      <c r="H128" s="31"/>
      <c r="I128" s="32"/>
      <c r="J128" s="13"/>
      <c r="K128" s="5"/>
      <c r="L128" s="5"/>
      <c r="M128" s="5"/>
      <c r="N128" s="5"/>
      <c r="O128" s="5"/>
      <c r="P128" s="5"/>
      <c r="Q128" s="5"/>
      <c r="R128" s="5"/>
    </row>
    <row r="129" spans="3:18" hidden="1" x14ac:dyDescent="0.25">
      <c r="C129" s="5"/>
      <c r="D129" s="5"/>
      <c r="E129" s="40" t="s">
        <v>36</v>
      </c>
      <c r="F129" s="43"/>
      <c r="G129" s="34"/>
      <c r="H129" s="34"/>
      <c r="I129" s="35"/>
      <c r="J129" s="13"/>
      <c r="K129" s="5"/>
      <c r="L129" s="5"/>
      <c r="M129" s="5"/>
      <c r="N129" s="5"/>
      <c r="O129" s="5"/>
      <c r="P129" s="5"/>
      <c r="Q129" s="5"/>
      <c r="R129" s="5"/>
    </row>
    <row r="130" spans="3:18" hidden="1" x14ac:dyDescent="0.25">
      <c r="C130" s="5"/>
      <c r="D130" s="5"/>
      <c r="E130" s="36"/>
      <c r="F130" s="43"/>
      <c r="G130" s="34"/>
      <c r="H130" s="34"/>
      <c r="I130" s="35"/>
      <c r="J130" s="13"/>
      <c r="K130" s="5"/>
      <c r="L130" s="5"/>
      <c r="M130" s="5"/>
      <c r="N130" s="5"/>
      <c r="O130" s="5"/>
      <c r="P130" s="5"/>
      <c r="Q130" s="5"/>
      <c r="R130" s="5"/>
    </row>
    <row r="131" spans="3:18" hidden="1" x14ac:dyDescent="0.25">
      <c r="C131" s="5"/>
      <c r="D131" s="5"/>
      <c r="E131" s="36"/>
      <c r="F131" s="43"/>
      <c r="G131" s="34"/>
      <c r="H131" s="34"/>
      <c r="I131" s="35"/>
      <c r="J131" s="13"/>
      <c r="K131" s="5"/>
      <c r="L131" s="5"/>
      <c r="M131" s="5"/>
      <c r="N131" s="5"/>
      <c r="O131" s="5"/>
      <c r="P131" s="5"/>
      <c r="Q131" s="5"/>
      <c r="R131" s="5"/>
    </row>
    <row r="132" spans="3:18" hidden="1" x14ac:dyDescent="0.25">
      <c r="C132" s="5"/>
      <c r="D132" s="5"/>
      <c r="E132" s="36"/>
      <c r="F132" s="43"/>
      <c r="G132" s="34"/>
      <c r="H132" s="34"/>
      <c r="I132" s="35"/>
      <c r="J132" s="13"/>
      <c r="K132" s="5"/>
      <c r="L132" s="5"/>
      <c r="M132" s="5"/>
      <c r="N132" s="5"/>
      <c r="O132" s="5"/>
      <c r="P132" s="5"/>
      <c r="Q132" s="5"/>
      <c r="R132" s="5"/>
    </row>
    <row r="133" spans="3:18" hidden="1" x14ac:dyDescent="0.25">
      <c r="C133" s="5"/>
      <c r="D133" s="5"/>
      <c r="E133" s="36"/>
      <c r="F133" s="43"/>
      <c r="G133" s="34"/>
      <c r="H133" s="34"/>
      <c r="I133" s="35"/>
      <c r="J133" s="13"/>
      <c r="K133" s="5"/>
      <c r="L133" s="5"/>
      <c r="M133" s="5"/>
      <c r="N133" s="5"/>
      <c r="O133" s="5"/>
      <c r="P133" s="5"/>
      <c r="Q133" s="5"/>
      <c r="R133" s="5"/>
    </row>
    <row r="134" spans="3:18" hidden="1" x14ac:dyDescent="0.25">
      <c r="C134" s="5"/>
      <c r="D134" s="5"/>
      <c r="E134" s="36"/>
      <c r="F134" s="43"/>
      <c r="G134" s="34"/>
      <c r="H134" s="34"/>
      <c r="I134" s="35"/>
      <c r="J134" s="13"/>
      <c r="K134" s="5"/>
      <c r="L134" s="5"/>
      <c r="M134" s="5"/>
      <c r="N134" s="5"/>
      <c r="O134" s="5"/>
      <c r="P134" s="5"/>
      <c r="Q134" s="5"/>
      <c r="R134" s="5"/>
    </row>
    <row r="135" spans="3:18" hidden="1" x14ac:dyDescent="0.25">
      <c r="C135" s="5"/>
      <c r="D135" s="5"/>
      <c r="E135" s="36"/>
      <c r="F135" s="43"/>
      <c r="G135" s="34"/>
      <c r="H135" s="34"/>
      <c r="I135" s="35"/>
      <c r="J135" s="13"/>
      <c r="K135" s="5"/>
      <c r="L135" s="5"/>
      <c r="M135" s="5"/>
      <c r="N135" s="5"/>
      <c r="O135" s="5"/>
      <c r="P135" s="5"/>
      <c r="Q135" s="5"/>
      <c r="R135" s="5"/>
    </row>
    <row r="136" spans="3:18" hidden="1" x14ac:dyDescent="0.25">
      <c r="C136" s="5"/>
      <c r="D136" s="5"/>
      <c r="E136" s="36"/>
      <c r="F136" s="43"/>
      <c r="G136" s="34"/>
      <c r="H136" s="34"/>
      <c r="I136" s="35"/>
      <c r="J136" s="13"/>
      <c r="K136" s="5"/>
      <c r="L136" s="5"/>
      <c r="M136" s="5"/>
      <c r="N136" s="5"/>
      <c r="O136" s="5"/>
      <c r="P136" s="5"/>
      <c r="Q136" s="5"/>
      <c r="R136" s="5"/>
    </row>
    <row r="137" spans="3:18" hidden="1" x14ac:dyDescent="0.25">
      <c r="C137" s="5"/>
      <c r="D137" s="5"/>
      <c r="E137" s="36"/>
      <c r="F137" s="43"/>
      <c r="G137" s="34"/>
      <c r="H137" s="34"/>
      <c r="I137" s="35"/>
      <c r="J137" s="13"/>
      <c r="K137" s="5"/>
      <c r="L137" s="5"/>
      <c r="M137" s="5"/>
      <c r="N137" s="5"/>
      <c r="O137" s="5"/>
      <c r="P137" s="5"/>
      <c r="Q137" s="5"/>
      <c r="R137" s="5"/>
    </row>
    <row r="138" spans="3:18" hidden="1" x14ac:dyDescent="0.25">
      <c r="C138" s="5"/>
      <c r="D138" s="5"/>
      <c r="E138" s="36"/>
      <c r="F138" s="43"/>
      <c r="G138" s="34"/>
      <c r="H138" s="34"/>
      <c r="I138" s="35"/>
      <c r="J138" s="13"/>
      <c r="K138" s="5"/>
      <c r="L138" s="5"/>
      <c r="M138" s="5"/>
      <c r="N138" s="5"/>
      <c r="O138" s="5"/>
      <c r="P138" s="5"/>
      <c r="Q138" s="5"/>
      <c r="R138" s="5"/>
    </row>
    <row r="139" spans="3:18" ht="15.75" hidden="1" thickBot="1" x14ac:dyDescent="0.3">
      <c r="C139" s="5"/>
      <c r="D139" s="5"/>
      <c r="E139" s="36"/>
      <c r="F139" s="44"/>
      <c r="G139" s="45"/>
      <c r="H139" s="45"/>
      <c r="I139" s="46"/>
      <c r="J139" s="13"/>
      <c r="K139" s="5"/>
      <c r="L139" s="5"/>
      <c r="M139" s="5"/>
      <c r="N139" s="5"/>
      <c r="O139" s="5"/>
      <c r="P139" s="5"/>
      <c r="Q139" s="5"/>
      <c r="R139" s="5"/>
    </row>
    <row r="140" spans="3:18" hidden="1" x14ac:dyDescent="0.25">
      <c r="C140" s="5"/>
      <c r="D140" s="5"/>
      <c r="E140" s="36"/>
      <c r="F140" s="12"/>
      <c r="G140" s="12"/>
      <c r="H140" s="12"/>
      <c r="I140" s="12"/>
      <c r="J140" s="13"/>
      <c r="K140" s="5"/>
      <c r="L140" s="5"/>
      <c r="M140" s="5"/>
      <c r="N140" s="5"/>
      <c r="O140" s="5"/>
      <c r="P140" s="5"/>
      <c r="Q140" s="5"/>
      <c r="R140" s="5"/>
    </row>
    <row r="141" spans="3:18" hidden="1" x14ac:dyDescent="0.25">
      <c r="C141" s="5"/>
      <c r="D141" s="5"/>
      <c r="E141" s="36"/>
      <c r="F141" s="12"/>
      <c r="G141" s="12"/>
      <c r="H141" s="12"/>
      <c r="I141" s="12"/>
      <c r="J141" s="13"/>
      <c r="K141" s="5"/>
      <c r="L141" s="5"/>
      <c r="M141" s="5"/>
      <c r="N141" s="5"/>
      <c r="O141" s="5"/>
      <c r="P141" s="5"/>
      <c r="Q141" s="5"/>
      <c r="R141" s="5"/>
    </row>
    <row r="142" spans="3:18" hidden="1" x14ac:dyDescent="0.25">
      <c r="C142" s="5"/>
      <c r="D142" s="5"/>
      <c r="E142" s="36"/>
      <c r="F142" s="12"/>
      <c r="G142" s="12"/>
      <c r="H142" s="12"/>
      <c r="I142" s="12"/>
      <c r="J142" s="13"/>
      <c r="K142" s="5"/>
      <c r="L142" s="5"/>
      <c r="M142" s="5"/>
      <c r="N142" s="5"/>
      <c r="O142" s="5"/>
      <c r="P142" s="5"/>
      <c r="Q142" s="5"/>
      <c r="R142" s="5"/>
    </row>
    <row r="143" spans="3:18" hidden="1" x14ac:dyDescent="0.25">
      <c r="C143" s="5"/>
      <c r="D143" s="5"/>
      <c r="E143" s="36"/>
      <c r="F143" s="12"/>
      <c r="G143" s="12"/>
      <c r="H143" s="12"/>
      <c r="I143" s="12"/>
      <c r="J143" s="13"/>
      <c r="K143" s="5"/>
      <c r="L143" s="5"/>
      <c r="M143" s="5"/>
      <c r="N143" s="5"/>
      <c r="O143" s="5"/>
      <c r="P143" s="5"/>
      <c r="Q143" s="5"/>
      <c r="R143" s="5"/>
    </row>
    <row r="144" spans="3:18" ht="15.75" hidden="1" thickBot="1" x14ac:dyDescent="0.3">
      <c r="C144" s="5"/>
      <c r="D144" s="5"/>
      <c r="E144" s="36"/>
      <c r="F144" s="12"/>
      <c r="G144" s="12"/>
      <c r="H144" s="12"/>
      <c r="I144" s="12"/>
      <c r="J144" s="13"/>
      <c r="K144" s="5"/>
      <c r="L144" s="5"/>
      <c r="M144" s="5"/>
      <c r="N144" s="5"/>
      <c r="O144" s="5"/>
      <c r="P144" s="5"/>
      <c r="Q144" s="5"/>
      <c r="R144" s="5"/>
    </row>
    <row r="145" spans="3:18" ht="15.75" hidden="1" thickBot="1" x14ac:dyDescent="0.3">
      <c r="C145" s="5"/>
      <c r="D145" s="5"/>
      <c r="E145" s="11"/>
      <c r="F145" s="12"/>
      <c r="G145" s="12"/>
      <c r="H145" s="12"/>
      <c r="I145" s="12"/>
      <c r="J145" s="13"/>
      <c r="K145" s="5"/>
      <c r="L145" s="5"/>
      <c r="M145" s="5"/>
      <c r="N145" s="5"/>
      <c r="O145" s="5"/>
      <c r="P145" s="5"/>
      <c r="Q145" s="5"/>
      <c r="R145" s="5"/>
    </row>
    <row r="146" spans="3:18" ht="15.75" hidden="1" thickBot="1" x14ac:dyDescent="0.3">
      <c r="C146" s="5"/>
      <c r="D146" s="5"/>
      <c r="E146" s="95" t="s">
        <v>60</v>
      </c>
      <c r="F146" s="96"/>
      <c r="G146" s="96"/>
      <c r="H146" s="96"/>
      <c r="I146" s="96"/>
      <c r="J146" s="97"/>
      <c r="K146" s="5"/>
      <c r="L146" s="5"/>
      <c r="M146" s="5"/>
      <c r="N146" s="5"/>
      <c r="O146" s="5"/>
      <c r="P146" s="5"/>
      <c r="Q146" s="5"/>
      <c r="R146" s="5"/>
    </row>
    <row r="147" spans="3:18" ht="15.75" hidden="1" thickBot="1" x14ac:dyDescent="0.3">
      <c r="C147" s="5"/>
      <c r="D147" s="5"/>
      <c r="E147" s="54" t="s">
        <v>61</v>
      </c>
      <c r="F147" s="55" t="s">
        <v>62</v>
      </c>
      <c r="G147" s="55" t="s">
        <v>20</v>
      </c>
      <c r="H147" s="55" t="s">
        <v>25</v>
      </c>
      <c r="I147" s="55" t="s">
        <v>63</v>
      </c>
      <c r="J147" s="56" t="s">
        <v>64</v>
      </c>
      <c r="K147" s="5"/>
      <c r="L147" s="5"/>
      <c r="M147" s="5"/>
      <c r="N147" s="5"/>
      <c r="O147" s="5"/>
      <c r="P147" s="5"/>
      <c r="Q147" s="5"/>
      <c r="R147" s="5"/>
    </row>
    <row r="148" spans="3:18" hidden="1" x14ac:dyDescent="0.25">
      <c r="C148" s="5"/>
      <c r="D148" s="5"/>
      <c r="E148" s="61" t="s">
        <v>65</v>
      </c>
      <c r="F148" s="57" t="s">
        <v>62</v>
      </c>
      <c r="G148" s="58">
        <v>0.375</v>
      </c>
      <c r="H148" s="58">
        <v>0.75</v>
      </c>
      <c r="I148" s="64">
        <v>1</v>
      </c>
      <c r="J148" s="65">
        <f>(H148-G148)*24-I148</f>
        <v>8</v>
      </c>
      <c r="K148" s="5"/>
      <c r="L148" s="5"/>
      <c r="M148" s="5"/>
      <c r="N148" s="5"/>
      <c r="O148" s="5"/>
      <c r="P148" s="5"/>
      <c r="Q148" s="5"/>
      <c r="R148" s="5"/>
    </row>
    <row r="149" spans="3:18" hidden="1" x14ac:dyDescent="0.25">
      <c r="C149" s="5"/>
      <c r="D149" s="5"/>
      <c r="E149" s="62" t="s">
        <v>66</v>
      </c>
      <c r="F149" s="52" t="s">
        <v>62</v>
      </c>
      <c r="G149" s="53">
        <v>0.375</v>
      </c>
      <c r="H149" s="53">
        <v>0.75</v>
      </c>
      <c r="I149" s="66">
        <v>1</v>
      </c>
      <c r="J149" s="67">
        <f>(H149-G149)*24-I149</f>
        <v>8</v>
      </c>
      <c r="K149" s="5"/>
      <c r="L149" s="5"/>
      <c r="M149" s="5"/>
      <c r="N149" s="5"/>
      <c r="O149" s="5"/>
      <c r="P149" s="5"/>
      <c r="Q149" s="5"/>
      <c r="R149" s="5"/>
    </row>
    <row r="150" spans="3:18" hidden="1" x14ac:dyDescent="0.25">
      <c r="C150" s="5"/>
      <c r="D150" s="5"/>
      <c r="E150" s="62" t="s">
        <v>67</v>
      </c>
      <c r="F150" s="52" t="s">
        <v>62</v>
      </c>
      <c r="G150" s="53">
        <v>0.375</v>
      </c>
      <c r="H150" s="53">
        <v>0.75</v>
      </c>
      <c r="I150" s="66">
        <v>1</v>
      </c>
      <c r="J150" s="67">
        <f t="shared" ref="J150:J154" si="0">(H150-G150)*24-I150</f>
        <v>8</v>
      </c>
      <c r="K150" s="5"/>
      <c r="L150" s="5"/>
      <c r="M150" s="5"/>
      <c r="N150" s="5"/>
      <c r="O150" s="5"/>
      <c r="P150" s="5"/>
      <c r="Q150" s="5"/>
      <c r="R150" s="5"/>
    </row>
    <row r="151" spans="3:18" hidden="1" x14ac:dyDescent="0.25">
      <c r="C151" s="5"/>
      <c r="D151" s="5"/>
      <c r="E151" s="62" t="s">
        <v>68</v>
      </c>
      <c r="F151" s="52" t="s">
        <v>62</v>
      </c>
      <c r="G151" s="53">
        <v>0.375</v>
      </c>
      <c r="H151" s="53">
        <v>0.75</v>
      </c>
      <c r="I151" s="66">
        <v>1</v>
      </c>
      <c r="J151" s="67">
        <f t="shared" si="0"/>
        <v>8</v>
      </c>
      <c r="K151" s="5"/>
      <c r="L151" s="5"/>
      <c r="M151" s="5"/>
      <c r="N151" s="5"/>
      <c r="O151" s="5"/>
      <c r="P151" s="5"/>
      <c r="Q151" s="5"/>
      <c r="R151" s="5"/>
    </row>
    <row r="152" spans="3:18" hidden="1" x14ac:dyDescent="0.25">
      <c r="C152" s="5"/>
      <c r="D152" s="5"/>
      <c r="E152" s="62" t="s">
        <v>69</v>
      </c>
      <c r="F152" s="52" t="s">
        <v>62</v>
      </c>
      <c r="G152" s="53">
        <v>0.375</v>
      </c>
      <c r="H152" s="53">
        <v>0.75</v>
      </c>
      <c r="I152" s="66">
        <v>1</v>
      </c>
      <c r="J152" s="67">
        <f t="shared" si="0"/>
        <v>8</v>
      </c>
      <c r="K152" s="5"/>
      <c r="L152" s="5"/>
      <c r="M152" s="5"/>
      <c r="N152" s="5"/>
      <c r="O152" s="5"/>
      <c r="P152" s="5"/>
      <c r="Q152" s="5"/>
      <c r="R152" s="5"/>
    </row>
    <row r="153" spans="3:18" hidden="1" x14ac:dyDescent="0.25">
      <c r="C153" s="5"/>
      <c r="D153" s="5"/>
      <c r="E153" s="62" t="s">
        <v>70</v>
      </c>
      <c r="F153" s="52" t="s">
        <v>72</v>
      </c>
      <c r="G153" s="53"/>
      <c r="H153" s="53"/>
      <c r="I153" s="66"/>
      <c r="J153" s="67">
        <f t="shared" si="0"/>
        <v>0</v>
      </c>
      <c r="K153" s="5"/>
      <c r="L153" s="5"/>
      <c r="M153" s="5"/>
      <c r="N153" s="5"/>
      <c r="O153" s="5"/>
      <c r="P153" s="5"/>
      <c r="Q153" s="5"/>
      <c r="R153" s="5"/>
    </row>
    <row r="154" spans="3:18" ht="15.75" hidden="1" thickBot="1" x14ac:dyDescent="0.3">
      <c r="C154" s="5"/>
      <c r="D154" s="5"/>
      <c r="E154" s="63" t="s">
        <v>71</v>
      </c>
      <c r="F154" s="59" t="s">
        <v>72</v>
      </c>
      <c r="G154" s="60"/>
      <c r="H154" s="60"/>
      <c r="I154" s="68"/>
      <c r="J154" s="69">
        <f t="shared" si="0"/>
        <v>0</v>
      </c>
      <c r="K154" s="5"/>
      <c r="L154" s="5"/>
      <c r="M154" s="5"/>
      <c r="N154" s="5"/>
      <c r="O154" s="5"/>
      <c r="P154" s="5"/>
      <c r="Q154" s="5"/>
      <c r="R154" s="5"/>
    </row>
    <row r="155" spans="3:18" hidden="1" x14ac:dyDescent="0.25">
      <c r="C155" s="5"/>
      <c r="D155" s="5"/>
      <c r="E155" s="11"/>
      <c r="F155" s="12"/>
      <c r="G155" s="12"/>
      <c r="H155" s="12"/>
      <c r="I155" s="70" t="s">
        <v>73</v>
      </c>
      <c r="J155" s="74">
        <f>SUM(J148:J154)+SUM(I148:I154)</f>
        <v>45</v>
      </c>
      <c r="K155" s="5"/>
      <c r="L155" s="5"/>
      <c r="M155" s="5"/>
      <c r="N155" s="5"/>
      <c r="O155" s="5"/>
      <c r="P155" s="5"/>
      <c r="Q155" s="5"/>
      <c r="R155" s="5"/>
    </row>
    <row r="156" spans="3:18" hidden="1" x14ac:dyDescent="0.25">
      <c r="C156" s="5"/>
      <c r="D156" s="5"/>
      <c r="E156" s="11"/>
      <c r="F156" s="12"/>
      <c r="G156" s="12"/>
      <c r="H156" s="12"/>
      <c r="I156" s="71" t="s">
        <v>74</v>
      </c>
      <c r="J156" s="72">
        <f>SUM(I148:I154)</f>
        <v>5</v>
      </c>
      <c r="K156" s="5"/>
      <c r="L156" s="5"/>
      <c r="M156" s="5"/>
      <c r="N156" s="5"/>
      <c r="O156" s="5"/>
      <c r="P156" s="5"/>
      <c r="Q156" s="5"/>
      <c r="R156" s="5"/>
    </row>
    <row r="157" spans="3:18" ht="15.75" hidden="1" thickBot="1" x14ac:dyDescent="0.3">
      <c r="C157" s="5"/>
      <c r="D157" s="5"/>
      <c r="E157" s="11"/>
      <c r="F157" s="12"/>
      <c r="G157" s="12"/>
      <c r="H157" s="12"/>
      <c r="I157" s="73" t="s">
        <v>75</v>
      </c>
      <c r="J157" s="75">
        <f>J155-J156</f>
        <v>40</v>
      </c>
      <c r="K157" s="5"/>
      <c r="L157" s="5"/>
      <c r="M157" s="5"/>
      <c r="N157" s="5"/>
      <c r="O157" s="5"/>
      <c r="P157" s="5"/>
      <c r="Q157" s="5"/>
      <c r="R157" s="5"/>
    </row>
    <row r="158" spans="3:18" hidden="1" x14ac:dyDescent="0.25">
      <c r="C158" s="5"/>
      <c r="D158" s="5"/>
      <c r="E158" s="11"/>
      <c r="F158" s="12"/>
      <c r="G158" s="12"/>
      <c r="H158" s="12"/>
      <c r="I158" s="12"/>
      <c r="J158" s="13"/>
      <c r="K158" s="5"/>
      <c r="L158" s="5"/>
      <c r="M158" s="5"/>
      <c r="N158" s="5"/>
      <c r="O158" s="5"/>
      <c r="P158" s="5"/>
      <c r="Q158" s="5"/>
      <c r="R158" s="5"/>
    </row>
    <row r="159" spans="3:18" hidden="1" x14ac:dyDescent="0.25">
      <c r="C159" s="5"/>
      <c r="D159" s="5"/>
      <c r="E159" s="11"/>
      <c r="F159" s="12"/>
      <c r="G159" s="12"/>
      <c r="H159" s="12"/>
      <c r="I159" s="12"/>
      <c r="J159" s="13"/>
      <c r="K159" s="5"/>
      <c r="L159" s="5"/>
      <c r="M159" s="5"/>
      <c r="N159" s="5"/>
      <c r="O159" s="5"/>
      <c r="P159" s="5"/>
      <c r="Q159" s="5"/>
      <c r="R159" s="5"/>
    </row>
    <row r="160" spans="3:18" hidden="1" x14ac:dyDescent="0.25">
      <c r="C160" s="5"/>
      <c r="D160" s="5"/>
      <c r="E160" s="11"/>
      <c r="F160" s="12"/>
      <c r="G160" s="12"/>
      <c r="H160" s="12"/>
      <c r="I160" s="12"/>
      <c r="J160" s="13"/>
      <c r="K160" s="5"/>
      <c r="L160" s="5"/>
      <c r="M160" s="5"/>
      <c r="N160" s="5"/>
      <c r="O160" s="5"/>
      <c r="P160" s="5"/>
      <c r="Q160" s="5"/>
      <c r="R160" s="5"/>
    </row>
    <row r="161" spans="3:18" hidden="1" x14ac:dyDescent="0.25">
      <c r="C161" s="5"/>
      <c r="D161" s="5"/>
      <c r="E161" s="11"/>
      <c r="F161" s="12"/>
      <c r="G161" s="12"/>
      <c r="H161" s="12"/>
      <c r="I161" s="12"/>
      <c r="J161" s="13"/>
      <c r="K161" s="5"/>
      <c r="L161" s="5"/>
      <c r="M161" s="5"/>
      <c r="N161" s="5"/>
      <c r="O161" s="5"/>
      <c r="P161" s="5"/>
      <c r="Q161" s="5"/>
      <c r="R161" s="5"/>
    </row>
    <row r="162" spans="3:18" hidden="1" x14ac:dyDescent="0.25">
      <c r="C162" s="5"/>
      <c r="D162" s="5"/>
      <c r="E162" s="11"/>
      <c r="F162" s="12"/>
      <c r="G162" s="12"/>
      <c r="H162" s="12"/>
      <c r="I162" s="12"/>
      <c r="J162" s="13"/>
      <c r="K162" s="5"/>
      <c r="L162" s="5"/>
      <c r="M162" s="5"/>
      <c r="N162" s="5"/>
      <c r="O162" s="5"/>
      <c r="P162" s="5"/>
      <c r="Q162" s="5"/>
      <c r="R162" s="5"/>
    </row>
    <row r="163" spans="3:18" hidden="1" x14ac:dyDescent="0.25">
      <c r="C163" s="5"/>
      <c r="D163" s="5"/>
      <c r="E163" s="11"/>
      <c r="F163" s="12"/>
      <c r="G163" s="12"/>
      <c r="H163" s="12"/>
      <c r="I163" s="12"/>
      <c r="J163" s="13"/>
      <c r="K163" s="5"/>
      <c r="L163" s="5"/>
      <c r="M163" s="5"/>
      <c r="N163" s="5"/>
      <c r="O163" s="5"/>
      <c r="P163" s="5"/>
      <c r="Q163" s="5"/>
      <c r="R163" s="5"/>
    </row>
    <row r="164" spans="3:18" ht="15.75" hidden="1" thickBot="1" x14ac:dyDescent="0.3">
      <c r="C164" s="5"/>
      <c r="D164" s="5"/>
      <c r="E164" s="11"/>
      <c r="F164" s="12"/>
      <c r="G164" s="12"/>
      <c r="H164" s="12"/>
      <c r="I164" s="12"/>
      <c r="J164" s="13"/>
      <c r="K164" s="5"/>
      <c r="L164" s="5"/>
      <c r="M164" s="5"/>
      <c r="N164" s="5"/>
      <c r="O164" s="5"/>
      <c r="P164" s="5"/>
      <c r="Q164" s="5"/>
      <c r="R164" s="5"/>
    </row>
    <row r="165" spans="3:18" ht="15.75" hidden="1" thickBot="1" x14ac:dyDescent="0.3">
      <c r="C165" s="5"/>
      <c r="D165" s="5"/>
      <c r="E165" s="11"/>
      <c r="F165" s="12"/>
      <c r="G165" s="12"/>
      <c r="H165" s="12"/>
      <c r="I165" s="12"/>
      <c r="J165" s="13"/>
      <c r="K165" s="5"/>
      <c r="L165" s="5"/>
      <c r="M165" s="5"/>
      <c r="N165" s="5"/>
      <c r="O165" s="5"/>
      <c r="P165" s="5"/>
      <c r="Q165" s="5"/>
      <c r="R165" s="5"/>
    </row>
    <row r="166" spans="3:18" ht="15.75" hidden="1" thickBot="1" x14ac:dyDescent="0.3">
      <c r="C166" s="5"/>
      <c r="D166" s="5"/>
      <c r="E166" s="95" t="s">
        <v>76</v>
      </c>
      <c r="F166" s="96"/>
      <c r="G166" s="96"/>
      <c r="H166" s="96"/>
      <c r="I166" s="96"/>
      <c r="J166" s="97"/>
      <c r="K166" s="5"/>
      <c r="L166" s="5"/>
      <c r="M166" s="5"/>
      <c r="N166" s="5"/>
      <c r="O166" s="5"/>
      <c r="P166" s="5"/>
      <c r="Q166" s="5"/>
      <c r="R166" s="5"/>
    </row>
    <row r="167" spans="3:18" ht="15.75" hidden="1" thickBot="1" x14ac:dyDescent="0.3">
      <c r="C167" s="5"/>
      <c r="D167" s="5"/>
      <c r="E167" s="76" t="s">
        <v>77</v>
      </c>
      <c r="F167" s="77" t="s">
        <v>78</v>
      </c>
      <c r="G167" s="77" t="s">
        <v>79</v>
      </c>
      <c r="H167" s="77" t="s">
        <v>80</v>
      </c>
      <c r="I167" s="77" t="s">
        <v>81</v>
      </c>
      <c r="J167" s="78" t="s">
        <v>82</v>
      </c>
      <c r="K167" s="5"/>
      <c r="L167" s="5"/>
      <c r="M167" s="5"/>
      <c r="N167" s="5"/>
      <c r="O167" s="5"/>
      <c r="P167" s="5"/>
      <c r="Q167" s="5"/>
      <c r="R167" s="5"/>
    </row>
    <row r="168" spans="3:18" hidden="1" x14ac:dyDescent="0.25">
      <c r="C168" s="5"/>
      <c r="D168" s="5"/>
      <c r="E168" s="79"/>
      <c r="F168" s="80"/>
      <c r="G168" s="80"/>
      <c r="H168" s="80"/>
      <c r="I168" s="81"/>
      <c r="J168" s="82"/>
      <c r="K168" s="5"/>
      <c r="L168" s="5"/>
      <c r="M168" s="5"/>
      <c r="N168" s="5"/>
      <c r="O168" s="5"/>
      <c r="P168" s="5"/>
      <c r="Q168" s="5"/>
      <c r="R168" s="5"/>
    </row>
    <row r="169" spans="3:18" hidden="1" x14ac:dyDescent="0.25">
      <c r="C169" s="5"/>
      <c r="D169" s="5"/>
      <c r="E169" s="33"/>
      <c r="F169" s="34"/>
      <c r="G169" s="34"/>
      <c r="H169" s="34"/>
      <c r="I169" s="83"/>
      <c r="J169" s="84"/>
      <c r="K169" s="5"/>
      <c r="L169" s="5"/>
      <c r="M169" s="5"/>
      <c r="N169" s="5"/>
      <c r="O169" s="5"/>
      <c r="P169" s="5"/>
      <c r="Q169" s="5"/>
      <c r="R169" s="5"/>
    </row>
    <row r="170" spans="3:18" hidden="1" x14ac:dyDescent="0.25">
      <c r="C170" s="5"/>
      <c r="D170" s="5"/>
      <c r="E170" s="33"/>
      <c r="F170" s="34"/>
      <c r="G170" s="34"/>
      <c r="H170" s="34"/>
      <c r="I170" s="83"/>
      <c r="J170" s="84"/>
      <c r="K170" s="5"/>
      <c r="L170" s="5"/>
      <c r="M170" s="5"/>
      <c r="N170" s="5"/>
      <c r="O170" s="5"/>
      <c r="P170" s="5"/>
      <c r="Q170" s="5"/>
      <c r="R170" s="5"/>
    </row>
    <row r="171" spans="3:18" hidden="1" x14ac:dyDescent="0.25">
      <c r="C171" s="5"/>
      <c r="D171" s="5"/>
      <c r="E171" s="33"/>
      <c r="F171" s="34"/>
      <c r="G171" s="34"/>
      <c r="H171" s="34"/>
      <c r="I171" s="83"/>
      <c r="J171" s="84"/>
      <c r="K171" s="5"/>
      <c r="L171" s="5"/>
      <c r="M171" s="5"/>
      <c r="N171" s="5"/>
      <c r="O171" s="5"/>
      <c r="P171" s="5"/>
      <c r="Q171" s="5"/>
      <c r="R171" s="5"/>
    </row>
    <row r="172" spans="3:18" hidden="1" x14ac:dyDescent="0.25">
      <c r="C172" s="5"/>
      <c r="D172" s="5"/>
      <c r="E172" s="33"/>
      <c r="F172" s="34"/>
      <c r="G172" s="34"/>
      <c r="H172" s="34"/>
      <c r="I172" s="83"/>
      <c r="J172" s="84"/>
      <c r="K172" s="5"/>
      <c r="L172" s="5"/>
      <c r="M172" s="5"/>
      <c r="N172" s="5"/>
      <c r="O172" s="5"/>
      <c r="P172" s="5"/>
      <c r="Q172" s="5"/>
      <c r="R172" s="5"/>
    </row>
    <row r="173" spans="3:18" hidden="1" x14ac:dyDescent="0.25">
      <c r="C173" s="5"/>
      <c r="D173" s="5"/>
      <c r="E173" s="33"/>
      <c r="F173" s="34"/>
      <c r="G173" s="34"/>
      <c r="H173" s="34"/>
      <c r="I173" s="83"/>
      <c r="J173" s="84"/>
      <c r="K173" s="5"/>
      <c r="L173" s="5"/>
      <c r="M173" s="5"/>
      <c r="N173" s="5"/>
      <c r="O173" s="5"/>
      <c r="P173" s="5"/>
      <c r="Q173" s="5"/>
      <c r="R173" s="5"/>
    </row>
    <row r="174" spans="3:18" hidden="1" x14ac:dyDescent="0.25">
      <c r="C174" s="5"/>
      <c r="D174" s="5"/>
      <c r="E174" s="33"/>
      <c r="F174" s="34"/>
      <c r="G174" s="34"/>
      <c r="H174" s="34"/>
      <c r="I174" s="83"/>
      <c r="J174" s="84"/>
      <c r="K174" s="5"/>
      <c r="L174" s="5"/>
      <c r="M174" s="5"/>
      <c r="N174" s="5"/>
      <c r="O174" s="5"/>
      <c r="P174" s="5"/>
      <c r="Q174" s="5"/>
      <c r="R174" s="5"/>
    </row>
    <row r="175" spans="3:18" hidden="1" x14ac:dyDescent="0.25">
      <c r="C175" s="5"/>
      <c r="D175" s="5"/>
      <c r="E175" s="33"/>
      <c r="F175" s="34"/>
      <c r="G175" s="34"/>
      <c r="H175" s="34"/>
      <c r="I175" s="83"/>
      <c r="J175" s="84"/>
      <c r="K175" s="5"/>
      <c r="L175" s="5"/>
      <c r="M175" s="5"/>
      <c r="N175" s="5"/>
      <c r="O175" s="5"/>
      <c r="P175" s="5"/>
      <c r="Q175" s="5"/>
      <c r="R175" s="5"/>
    </row>
    <row r="176" spans="3:18" hidden="1" x14ac:dyDescent="0.25">
      <c r="C176" s="5"/>
      <c r="D176" s="5"/>
      <c r="E176" s="33"/>
      <c r="F176" s="34"/>
      <c r="G176" s="34"/>
      <c r="H176" s="34"/>
      <c r="I176" s="83"/>
      <c r="J176" s="84"/>
      <c r="K176" s="5"/>
      <c r="L176" s="5"/>
      <c r="M176" s="5"/>
      <c r="N176" s="5"/>
      <c r="O176" s="5"/>
      <c r="P176" s="5"/>
      <c r="Q176" s="5"/>
      <c r="R176" s="5"/>
    </row>
    <row r="177" spans="1:18" hidden="1" x14ac:dyDescent="0.25">
      <c r="C177" s="5"/>
      <c r="D177" s="5"/>
      <c r="E177" s="33"/>
      <c r="F177" s="34"/>
      <c r="G177" s="34"/>
      <c r="H177" s="34"/>
      <c r="I177" s="83"/>
      <c r="J177" s="84"/>
      <c r="K177" s="5"/>
      <c r="L177" s="5"/>
      <c r="M177" s="5"/>
      <c r="N177" s="5"/>
      <c r="O177" s="5"/>
      <c r="P177" s="5"/>
      <c r="Q177" s="5"/>
      <c r="R177" s="5"/>
    </row>
    <row r="178" spans="1:18" hidden="1" x14ac:dyDescent="0.25">
      <c r="C178" s="5"/>
      <c r="D178" s="5"/>
      <c r="E178" s="33"/>
      <c r="F178" s="34"/>
      <c r="G178" s="34"/>
      <c r="H178" s="34"/>
      <c r="I178" s="83"/>
      <c r="J178" s="84"/>
      <c r="K178" s="5"/>
      <c r="L178" s="5"/>
      <c r="M178" s="5"/>
      <c r="N178" s="5"/>
      <c r="O178" s="5"/>
      <c r="P178" s="5"/>
      <c r="Q178" s="5"/>
      <c r="R178" s="5"/>
    </row>
    <row r="179" spans="1:18" hidden="1" x14ac:dyDescent="0.25">
      <c r="C179" s="5"/>
      <c r="D179" s="5"/>
      <c r="E179" s="85"/>
      <c r="F179" s="86"/>
      <c r="G179" s="86"/>
      <c r="H179" s="86"/>
      <c r="I179" s="87"/>
      <c r="J179" s="88"/>
      <c r="K179" s="5"/>
      <c r="L179" s="5"/>
      <c r="M179" s="5"/>
      <c r="N179" s="5"/>
      <c r="O179" s="5"/>
      <c r="P179" s="5"/>
      <c r="Q179" s="5"/>
      <c r="R179" s="5"/>
    </row>
    <row r="180" spans="1:18" ht="15.75" hidden="1" thickBot="1" x14ac:dyDescent="0.3">
      <c r="C180" s="5"/>
      <c r="D180" s="5"/>
      <c r="E180" s="11"/>
      <c r="F180" s="12"/>
      <c r="G180" s="12"/>
      <c r="H180" s="12"/>
      <c r="I180" s="12"/>
      <c r="J180" s="13"/>
      <c r="K180" s="5"/>
      <c r="L180" s="5"/>
      <c r="M180" s="5"/>
      <c r="N180" s="5"/>
      <c r="O180" s="5"/>
      <c r="P180" s="5"/>
      <c r="Q180" s="5"/>
      <c r="R180" s="5"/>
    </row>
    <row r="181" spans="1:18" ht="15.75" hidden="1" thickBot="1" x14ac:dyDescent="0.3">
      <c r="C181" s="5"/>
      <c r="D181" s="5"/>
      <c r="E181" s="107" t="s">
        <v>83</v>
      </c>
      <c r="F181" s="108"/>
      <c r="G181" s="108"/>
      <c r="H181" s="108"/>
      <c r="I181" s="108"/>
      <c r="J181" s="109"/>
      <c r="K181" s="5"/>
      <c r="L181" s="5"/>
      <c r="M181" s="5"/>
      <c r="N181" s="5"/>
      <c r="O181" s="5"/>
      <c r="P181" s="5"/>
      <c r="Q181" s="5"/>
      <c r="R181" s="5"/>
    </row>
    <row r="182" spans="1:18" hidden="1" x14ac:dyDescent="0.25">
      <c r="C182" s="5"/>
      <c r="D182" s="5"/>
      <c r="E182" s="89" t="s">
        <v>84</v>
      </c>
      <c r="F182" s="90"/>
      <c r="G182" s="91" t="s">
        <v>87</v>
      </c>
      <c r="H182" s="90"/>
      <c r="I182" s="91" t="s">
        <v>88</v>
      </c>
      <c r="J182" s="92"/>
      <c r="K182" s="5"/>
      <c r="L182" s="5"/>
      <c r="M182" s="5"/>
      <c r="N182" s="5"/>
      <c r="O182" s="5"/>
      <c r="P182" s="5"/>
      <c r="Q182" s="5"/>
      <c r="R182" s="5"/>
    </row>
    <row r="183" spans="1:18" hidden="1" x14ac:dyDescent="0.25">
      <c r="C183" s="5"/>
      <c r="D183" s="5"/>
      <c r="E183" s="89" t="s">
        <v>85</v>
      </c>
      <c r="F183" s="93"/>
      <c r="G183" s="91" t="s">
        <v>86</v>
      </c>
      <c r="H183" s="93"/>
      <c r="I183" s="91" t="s">
        <v>89</v>
      </c>
      <c r="J183" s="94"/>
      <c r="K183" s="5"/>
      <c r="L183" s="5"/>
      <c r="M183" s="5"/>
      <c r="N183" s="5"/>
      <c r="O183" s="5"/>
      <c r="P183" s="5"/>
      <c r="Q183" s="5"/>
      <c r="R183" s="5"/>
    </row>
    <row r="184" spans="1:18" ht="15.75" hidden="1" thickBot="1" x14ac:dyDescent="0.3">
      <c r="C184" s="5"/>
      <c r="D184" s="5"/>
      <c r="E184" s="14"/>
      <c r="F184" s="15"/>
      <c r="G184" s="15"/>
      <c r="H184" s="15"/>
      <c r="I184" s="15"/>
      <c r="J184" s="16"/>
      <c r="K184" s="5"/>
      <c r="L184" s="5"/>
      <c r="M184" s="5"/>
      <c r="N184" s="5"/>
      <c r="O184" s="5"/>
      <c r="P184" s="5"/>
      <c r="Q184" s="5"/>
      <c r="R184" s="5"/>
    </row>
    <row r="185" spans="1:18" x14ac:dyDescent="0.25">
      <c r="A185" s="51">
        <v>0</v>
      </c>
      <c r="C185" s="5"/>
      <c r="D185" s="5"/>
      <c r="E185" s="10"/>
      <c r="F185" s="10"/>
      <c r="G185" s="10"/>
      <c r="H185" s="10"/>
      <c r="I185" s="10"/>
      <c r="J185" s="10"/>
      <c r="K185" s="5"/>
      <c r="L185" s="5"/>
      <c r="M185" s="5"/>
      <c r="N185" s="5"/>
      <c r="O185" s="5"/>
      <c r="P185" s="5"/>
      <c r="Q185" s="5"/>
      <c r="R185" s="5"/>
    </row>
    <row r="186" spans="1:18" x14ac:dyDescent="0.25">
      <c r="A186" s="51">
        <v>1.0416666666666666E-2</v>
      </c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</row>
    <row r="187" spans="1:18" x14ac:dyDescent="0.25">
      <c r="A187" s="51">
        <v>2.0833333333333301E-2</v>
      </c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</row>
    <row r="188" spans="1:18" x14ac:dyDescent="0.25">
      <c r="A188" s="51">
        <v>3.125E-2</v>
      </c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</row>
    <row r="189" spans="1:18" x14ac:dyDescent="0.25">
      <c r="A189" s="51">
        <v>4.1666666666666699E-2</v>
      </c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</row>
    <row r="190" spans="1:18" x14ac:dyDescent="0.25">
      <c r="A190" s="51">
        <v>5.2083333333333301E-2</v>
      </c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</row>
    <row r="191" spans="1:18" x14ac:dyDescent="0.25">
      <c r="A191" s="51">
        <v>6.25E-2</v>
      </c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</row>
    <row r="192" spans="1:18" x14ac:dyDescent="0.25">
      <c r="A192" s="51">
        <v>7.2916666666666699E-2</v>
      </c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</row>
    <row r="193" spans="1:18" x14ac:dyDescent="0.25">
      <c r="A193" s="51">
        <v>8.3333333333333301E-2</v>
      </c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</row>
    <row r="194" spans="1:18" x14ac:dyDescent="0.25">
      <c r="A194" s="51">
        <v>9.375E-2</v>
      </c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</row>
    <row r="195" spans="1:18" x14ac:dyDescent="0.25">
      <c r="A195" s="51">
        <v>0.104166666666667</v>
      </c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</row>
    <row r="196" spans="1:18" x14ac:dyDescent="0.25">
      <c r="A196" s="51">
        <v>0.114583333333333</v>
      </c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</row>
    <row r="197" spans="1:18" x14ac:dyDescent="0.25">
      <c r="A197" s="51">
        <v>0.125</v>
      </c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</row>
    <row r="198" spans="1:18" x14ac:dyDescent="0.25">
      <c r="A198" s="51">
        <v>0.13541666666666699</v>
      </c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</row>
    <row r="199" spans="1:18" x14ac:dyDescent="0.25">
      <c r="A199" s="51">
        <v>0.14583333333333301</v>
      </c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</row>
    <row r="200" spans="1:18" x14ac:dyDescent="0.25">
      <c r="A200" s="51">
        <v>0.15625</v>
      </c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</row>
    <row r="201" spans="1:18" x14ac:dyDescent="0.25">
      <c r="A201" s="51">
        <v>0.16666666666666699</v>
      </c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</row>
    <row r="202" spans="1:18" x14ac:dyDescent="0.25">
      <c r="A202" s="51">
        <v>0.17708333333333301</v>
      </c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</row>
    <row r="203" spans="1:18" x14ac:dyDescent="0.25">
      <c r="A203" s="51">
        <v>0.1875</v>
      </c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</row>
    <row r="204" spans="1:18" x14ac:dyDescent="0.25">
      <c r="A204" s="51">
        <v>0.19791666666666699</v>
      </c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</row>
    <row r="205" spans="1:18" x14ac:dyDescent="0.25">
      <c r="A205" s="51">
        <v>0.20833333333333301</v>
      </c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</row>
    <row r="206" spans="1:18" x14ac:dyDescent="0.25">
      <c r="A206" s="51">
        <v>0.21875</v>
      </c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</row>
    <row r="207" spans="1:18" x14ac:dyDescent="0.25">
      <c r="A207" s="51">
        <v>0.22916666666666699</v>
      </c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</row>
    <row r="208" spans="1:18" x14ac:dyDescent="0.25">
      <c r="A208" s="51">
        <v>0.23958333333333301</v>
      </c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</row>
    <row r="209" spans="1:18" x14ac:dyDescent="0.25">
      <c r="A209" s="51">
        <v>0.25</v>
      </c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</row>
    <row r="210" spans="1:18" x14ac:dyDescent="0.25">
      <c r="A210" s="51">
        <v>0.26041666666666702</v>
      </c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</row>
    <row r="211" spans="1:18" x14ac:dyDescent="0.25">
      <c r="A211" s="51">
        <v>0.27083333333333298</v>
      </c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</row>
    <row r="212" spans="1:18" x14ac:dyDescent="0.25">
      <c r="A212" s="51">
        <v>0.28125</v>
      </c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</row>
    <row r="213" spans="1:18" x14ac:dyDescent="0.25">
      <c r="A213" s="51">
        <v>0.29166666666666702</v>
      </c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</row>
    <row r="214" spans="1:18" x14ac:dyDescent="0.25">
      <c r="A214" s="51">
        <v>0.30208333333333298</v>
      </c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</row>
    <row r="215" spans="1:18" x14ac:dyDescent="0.25">
      <c r="A215" s="51">
        <v>0.3125</v>
      </c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</row>
    <row r="216" spans="1:18" x14ac:dyDescent="0.25">
      <c r="A216" s="51">
        <v>0.32291666666666702</v>
      </c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</row>
    <row r="217" spans="1:18" x14ac:dyDescent="0.25">
      <c r="A217" s="51">
        <v>0.33333333333333298</v>
      </c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</row>
    <row r="218" spans="1:18" x14ac:dyDescent="0.25">
      <c r="A218" s="51">
        <v>0.34375</v>
      </c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</row>
    <row r="219" spans="1:18" x14ac:dyDescent="0.25">
      <c r="A219" s="51">
        <v>0.35416666666666702</v>
      </c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</row>
    <row r="220" spans="1:18" x14ac:dyDescent="0.25">
      <c r="A220" s="51">
        <v>0.36458333333333298</v>
      </c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</row>
    <row r="221" spans="1:18" x14ac:dyDescent="0.25">
      <c r="A221" s="51">
        <v>0.375</v>
      </c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</row>
    <row r="222" spans="1:18" x14ac:dyDescent="0.25">
      <c r="A222" s="51">
        <v>0.38541666666666702</v>
      </c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</row>
    <row r="223" spans="1:18" x14ac:dyDescent="0.25">
      <c r="A223" s="51">
        <v>0.39583333333333298</v>
      </c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</row>
    <row r="224" spans="1:18" x14ac:dyDescent="0.25">
      <c r="A224" s="51">
        <v>0.40625</v>
      </c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</row>
    <row r="225" spans="1:18" x14ac:dyDescent="0.25">
      <c r="A225" s="51">
        <v>0.41666666666666702</v>
      </c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</row>
    <row r="226" spans="1:18" x14ac:dyDescent="0.25">
      <c r="A226" s="51">
        <v>0.42708333333333298</v>
      </c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</row>
    <row r="227" spans="1:18" x14ac:dyDescent="0.25">
      <c r="A227" s="51">
        <v>0.4375</v>
      </c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</row>
    <row r="228" spans="1:18" x14ac:dyDescent="0.25">
      <c r="A228" s="51">
        <v>0.44791666666666702</v>
      </c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</row>
    <row r="229" spans="1:18" x14ac:dyDescent="0.25">
      <c r="A229" s="51">
        <v>0.45833333333333298</v>
      </c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</row>
    <row r="230" spans="1:18" x14ac:dyDescent="0.25">
      <c r="A230" s="51">
        <v>0.46875</v>
      </c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</row>
    <row r="231" spans="1:18" x14ac:dyDescent="0.25">
      <c r="A231" s="51">
        <v>0.47916666666666702</v>
      </c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</row>
    <row r="232" spans="1:18" x14ac:dyDescent="0.25">
      <c r="A232" s="51">
        <v>0.48958333333333298</v>
      </c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</row>
    <row r="233" spans="1:18" x14ac:dyDescent="0.25">
      <c r="A233" s="51">
        <v>0.5</v>
      </c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</row>
    <row r="234" spans="1:18" x14ac:dyDescent="0.25">
      <c r="A234" s="51">
        <v>0.51041666666666696</v>
      </c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</row>
    <row r="235" spans="1:18" x14ac:dyDescent="0.25">
      <c r="A235" s="51">
        <v>0.52083333333333304</v>
      </c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</row>
    <row r="236" spans="1:18" x14ac:dyDescent="0.25">
      <c r="A236" s="51">
        <v>0.53125</v>
      </c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</row>
    <row r="237" spans="1:18" x14ac:dyDescent="0.25">
      <c r="A237" s="51">
        <v>0.54166666666666696</v>
      </c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</row>
    <row r="238" spans="1:18" x14ac:dyDescent="0.25">
      <c r="A238" s="51">
        <v>0.55208333333333304</v>
      </c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</row>
    <row r="239" spans="1:18" x14ac:dyDescent="0.25">
      <c r="A239" s="51">
        <v>0.5625</v>
      </c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</row>
    <row r="240" spans="1:18" x14ac:dyDescent="0.25">
      <c r="A240" s="51">
        <v>0.57291666666666696</v>
      </c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</row>
    <row r="241" spans="1:18" x14ac:dyDescent="0.25">
      <c r="A241" s="51">
        <v>0.58333333333333304</v>
      </c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</row>
    <row r="242" spans="1:18" x14ac:dyDescent="0.25">
      <c r="A242" s="51">
        <v>0.59375</v>
      </c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</row>
    <row r="243" spans="1:18" x14ac:dyDescent="0.25">
      <c r="A243" s="51">
        <v>0.60416666666666696</v>
      </c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</row>
    <row r="244" spans="1:18" x14ac:dyDescent="0.25">
      <c r="A244" s="51">
        <v>0.61458333333333304</v>
      </c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</row>
    <row r="245" spans="1:18" x14ac:dyDescent="0.25">
      <c r="A245" s="51">
        <v>0.625</v>
      </c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</row>
    <row r="246" spans="1:18" x14ac:dyDescent="0.25">
      <c r="A246" s="51">
        <v>0.63541666666666696</v>
      </c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</row>
    <row r="247" spans="1:18" x14ac:dyDescent="0.25">
      <c r="A247" s="51">
        <v>0.64583333333333304</v>
      </c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</row>
    <row r="248" spans="1:18" x14ac:dyDescent="0.25">
      <c r="A248" s="51">
        <v>0.65625</v>
      </c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</row>
    <row r="249" spans="1:18" x14ac:dyDescent="0.25">
      <c r="A249" s="51">
        <v>0.66666666666666696</v>
      </c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</row>
    <row r="250" spans="1:18" x14ac:dyDescent="0.25">
      <c r="A250" s="51">
        <v>0.67708333333333304</v>
      </c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</row>
    <row r="251" spans="1:18" x14ac:dyDescent="0.25">
      <c r="A251" s="51">
        <v>0.6875</v>
      </c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</row>
    <row r="252" spans="1:18" x14ac:dyDescent="0.25">
      <c r="A252" s="51">
        <v>0.69791666666666696</v>
      </c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</row>
    <row r="253" spans="1:18" x14ac:dyDescent="0.25">
      <c r="A253" s="51">
        <v>0.70833333333333304</v>
      </c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</row>
    <row r="254" spans="1:18" x14ac:dyDescent="0.25">
      <c r="A254" s="51">
        <v>0.71875</v>
      </c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</row>
    <row r="255" spans="1:18" x14ac:dyDescent="0.25">
      <c r="A255" s="51">
        <v>0.72916666666666696</v>
      </c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</row>
    <row r="256" spans="1:18" x14ac:dyDescent="0.25">
      <c r="A256" s="51">
        <v>0.73958333333333304</v>
      </c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</row>
    <row r="257" spans="1:18" x14ac:dyDescent="0.25">
      <c r="A257" s="51">
        <v>0.75</v>
      </c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</row>
    <row r="258" spans="1:18" x14ac:dyDescent="0.25">
      <c r="A258" s="51">
        <v>0.76041666666666696</v>
      </c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</row>
    <row r="259" spans="1:18" x14ac:dyDescent="0.25">
      <c r="A259" s="51">
        <v>0.77083333333333304</v>
      </c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</row>
    <row r="260" spans="1:18" x14ac:dyDescent="0.25">
      <c r="A260" s="51">
        <v>0.78125</v>
      </c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</row>
    <row r="261" spans="1:18" x14ac:dyDescent="0.25">
      <c r="A261" s="51">
        <v>0.79166666666666696</v>
      </c>
    </row>
    <row r="262" spans="1:18" x14ac:dyDescent="0.25">
      <c r="A262" s="51">
        <v>0.80208333333333304</v>
      </c>
    </row>
    <row r="263" spans="1:18" x14ac:dyDescent="0.25">
      <c r="A263" s="51">
        <v>0.8125</v>
      </c>
    </row>
    <row r="264" spans="1:18" x14ac:dyDescent="0.25">
      <c r="A264" s="51">
        <v>0.82291666666666696</v>
      </c>
    </row>
    <row r="265" spans="1:18" x14ac:dyDescent="0.25">
      <c r="A265" s="51">
        <v>0.83333333333333304</v>
      </c>
    </row>
    <row r="266" spans="1:18" x14ac:dyDescent="0.25">
      <c r="A266" s="51">
        <v>0.84375</v>
      </c>
    </row>
    <row r="267" spans="1:18" x14ac:dyDescent="0.25">
      <c r="A267" s="51">
        <v>0.85416666666666696</v>
      </c>
    </row>
    <row r="268" spans="1:18" x14ac:dyDescent="0.25">
      <c r="A268" s="51">
        <v>0.86458333333333304</v>
      </c>
    </row>
    <row r="269" spans="1:18" x14ac:dyDescent="0.25">
      <c r="A269" s="51">
        <v>0.875</v>
      </c>
    </row>
    <row r="270" spans="1:18" x14ac:dyDescent="0.25">
      <c r="A270" s="51">
        <v>0.88541666666666696</v>
      </c>
    </row>
    <row r="271" spans="1:18" x14ac:dyDescent="0.25">
      <c r="A271" s="51">
        <v>0.89583333333333304</v>
      </c>
    </row>
    <row r="272" spans="1:18" x14ac:dyDescent="0.25">
      <c r="A272" s="51">
        <v>0.90625</v>
      </c>
    </row>
    <row r="273" spans="1:1" x14ac:dyDescent="0.25">
      <c r="A273" s="51">
        <v>0.91666666666666696</v>
      </c>
    </row>
    <row r="274" spans="1:1" x14ac:dyDescent="0.25">
      <c r="A274" s="51">
        <v>0.92708333333333304</v>
      </c>
    </row>
    <row r="275" spans="1:1" x14ac:dyDescent="0.25">
      <c r="A275" s="51">
        <v>0.9375</v>
      </c>
    </row>
    <row r="276" spans="1:1" x14ac:dyDescent="0.25">
      <c r="A276" s="51">
        <v>0.94791666666666696</v>
      </c>
    </row>
    <row r="277" spans="1:1" x14ac:dyDescent="0.25">
      <c r="A277" s="51">
        <v>0.95833333333333304</v>
      </c>
    </row>
    <row r="278" spans="1:1" x14ac:dyDescent="0.25">
      <c r="A278" s="51">
        <v>0.96875</v>
      </c>
    </row>
    <row r="279" spans="1:1" x14ac:dyDescent="0.25">
      <c r="A279" s="51">
        <v>0.97916666666666696</v>
      </c>
    </row>
    <row r="280" spans="1:1" x14ac:dyDescent="0.25">
      <c r="A280" s="51">
        <v>0.98958333333333304</v>
      </c>
    </row>
    <row r="281" spans="1:1" x14ac:dyDescent="0.25">
      <c r="A281" s="51"/>
    </row>
    <row r="282" spans="1:1" x14ac:dyDescent="0.25">
      <c r="A282" s="51"/>
    </row>
    <row r="283" spans="1:1" x14ac:dyDescent="0.25">
      <c r="A283" s="51"/>
    </row>
    <row r="284" spans="1:1" x14ac:dyDescent="0.25">
      <c r="A284" s="51"/>
    </row>
    <row r="285" spans="1:1" x14ac:dyDescent="0.25">
      <c r="A285" s="51"/>
    </row>
    <row r="286" spans="1:1" x14ac:dyDescent="0.25">
      <c r="A286" s="51"/>
    </row>
    <row r="287" spans="1:1" x14ac:dyDescent="0.25">
      <c r="A287" s="51"/>
    </row>
    <row r="288" spans="1:1" x14ac:dyDescent="0.25">
      <c r="A288" s="51"/>
    </row>
    <row r="289" spans="1:1" x14ac:dyDescent="0.25">
      <c r="A289" s="51"/>
    </row>
    <row r="290" spans="1:1" x14ac:dyDescent="0.25">
      <c r="A290" s="51"/>
    </row>
    <row r="291" spans="1:1" x14ac:dyDescent="0.25">
      <c r="A291" s="51"/>
    </row>
    <row r="292" spans="1:1" x14ac:dyDescent="0.25">
      <c r="A292" s="51"/>
    </row>
  </sheetData>
  <mergeCells count="10">
    <mergeCell ref="F106:I106"/>
    <mergeCell ref="F126:I126"/>
    <mergeCell ref="E146:J146"/>
    <mergeCell ref="E166:J166"/>
    <mergeCell ref="E181:J181"/>
    <mergeCell ref="E17:J17"/>
    <mergeCell ref="E1:J1"/>
    <mergeCell ref="F8:H8"/>
    <mergeCell ref="F2:G2"/>
    <mergeCell ref="F91:I91"/>
  </mergeCells>
  <conditionalFormatting sqref="E4:J4">
    <cfRule type="expression" dxfId="13" priority="16">
      <formula>$B$2=COLUMN()</formula>
    </cfRule>
  </conditionalFormatting>
  <conditionalFormatting sqref="E28:J44">
    <cfRule type="expression" dxfId="12" priority="15">
      <formula>MOD(ROW(),2)=0</formula>
    </cfRule>
  </conditionalFormatting>
  <conditionalFormatting sqref="E48:J64">
    <cfRule type="expression" dxfId="11" priority="14">
      <formula>MOD(ROW(),2)=0</formula>
    </cfRule>
  </conditionalFormatting>
  <conditionalFormatting sqref="E66:E69">
    <cfRule type="expression" dxfId="10" priority="12">
      <formula>$B$3=ROW()</formula>
    </cfRule>
  </conditionalFormatting>
  <conditionalFormatting sqref="E86:E89">
    <cfRule type="expression" dxfId="9" priority="11">
      <formula>$B$3=ROW()</formula>
    </cfRule>
  </conditionalFormatting>
  <conditionalFormatting sqref="E106:E109">
    <cfRule type="expression" dxfId="8" priority="10">
      <formula>$B$3=ROW()</formula>
    </cfRule>
  </conditionalFormatting>
  <conditionalFormatting sqref="E126:E129">
    <cfRule type="expression" dxfId="7" priority="9">
      <formula>$B$3=ROW()</formula>
    </cfRule>
  </conditionalFormatting>
  <conditionalFormatting sqref="F93:I104">
    <cfRule type="expression" dxfId="6" priority="8">
      <formula>MOD(ROW(),2)=0</formula>
    </cfRule>
  </conditionalFormatting>
  <conditionalFormatting sqref="F108:I119">
    <cfRule type="expression" dxfId="5" priority="7">
      <formula>MOD(ROW(),2)=0</formula>
    </cfRule>
  </conditionalFormatting>
  <conditionalFormatting sqref="F128:I139">
    <cfRule type="expression" dxfId="4" priority="6">
      <formula>MOD(ROW(),2)=0</formula>
    </cfRule>
  </conditionalFormatting>
  <conditionalFormatting sqref="F148:I154">
    <cfRule type="expression" dxfId="3" priority="4">
      <formula>MOD(ROW(),2)=0</formula>
    </cfRule>
  </conditionalFormatting>
  <conditionalFormatting sqref="F148:J154">
    <cfRule type="expression" dxfId="2" priority="3">
      <formula>$F148="Off"</formula>
    </cfRule>
  </conditionalFormatting>
  <conditionalFormatting sqref="E168:J179">
    <cfRule type="expression" dxfId="1" priority="2">
      <formula>MOD(ROW(),2)=0</formula>
    </cfRule>
  </conditionalFormatting>
  <conditionalFormatting sqref="I168:J179">
    <cfRule type="expression" dxfId="0" priority="1">
      <formula>MOD(ROW(),2)=0</formula>
    </cfRule>
  </conditionalFormatting>
  <dataValidations count="5">
    <dataValidation type="list" allowBlank="1" showInputMessage="1" showErrorMessage="1" sqref="F148:F154">
      <formula1>"Workday,Off"</formula1>
    </dataValidation>
    <dataValidation type="list" allowBlank="1" showInputMessage="1" showErrorMessage="1" sqref="G148:H154">
      <formula1>Times</formula1>
    </dataValidation>
    <dataValidation type="list" allowBlank="1" showInputMessage="1" showErrorMessage="1" sqref="F168:F179">
      <formula1>"Paid,Non-Paid"</formula1>
    </dataValidation>
    <dataValidation type="list" allowBlank="1" showInputMessage="1" showErrorMessage="1" sqref="G168:G179">
      <formula1>"Yes,No"</formula1>
    </dataValidation>
    <dataValidation type="list" allowBlank="1" showInputMessage="1" showErrorMessage="1" sqref="F2:G2">
      <formula1>EmployeeName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B567"/>
  <sheetViews>
    <sheetView topLeftCell="V1" workbookViewId="0">
      <selection activeCell="AB4" sqref="AB4"/>
    </sheetView>
  </sheetViews>
  <sheetFormatPr defaultRowHeight="15" x14ac:dyDescent="0.25"/>
  <cols>
    <col min="1" max="1" width="8.28515625" bestFit="1" customWidth="1"/>
    <col min="2" max="2" width="10.140625" bestFit="1" customWidth="1"/>
    <col min="3" max="3" width="10.5703125" bestFit="1" customWidth="1"/>
    <col min="4" max="4" width="7.5703125" bestFit="1" customWidth="1"/>
    <col min="5" max="5" width="16" bestFit="1" customWidth="1"/>
    <col min="6" max="6" width="12.5703125" bestFit="1" customWidth="1"/>
    <col min="7" max="7" width="10.28515625" bestFit="1" customWidth="1"/>
    <col min="8" max="8" width="6" bestFit="1" customWidth="1"/>
    <col min="9" max="9" width="8.28515625" bestFit="1" customWidth="1"/>
    <col min="10" max="10" width="6.42578125" bestFit="1" customWidth="1"/>
    <col min="11" max="11" width="12" bestFit="1" customWidth="1"/>
    <col min="12" max="12" width="12.28515625" bestFit="1" customWidth="1"/>
    <col min="13" max="13" width="23.42578125" bestFit="1" customWidth="1"/>
    <col min="14" max="14" width="9.7109375" bestFit="1" customWidth="1"/>
    <col min="15" max="15" width="8.85546875" bestFit="1" customWidth="1"/>
    <col min="16" max="16" width="19.5703125" bestFit="1" customWidth="1"/>
    <col min="17" max="17" width="16.140625" bestFit="1" customWidth="1"/>
    <col min="18" max="18" width="17.28515625" bestFit="1" customWidth="1"/>
    <col min="19" max="19" width="15.28515625" bestFit="1" customWidth="1"/>
    <col min="20" max="20" width="13.85546875" bestFit="1" customWidth="1"/>
    <col min="21" max="21" width="15.7109375" bestFit="1" customWidth="1"/>
    <col min="22" max="22" width="13.5703125" bestFit="1" customWidth="1"/>
    <col min="23" max="23" width="14.28515625" bestFit="1" customWidth="1"/>
    <col min="24" max="24" width="6" bestFit="1" customWidth="1"/>
    <col min="25" max="25" width="11.5703125" bestFit="1" customWidth="1"/>
    <col min="26" max="26" width="21.42578125" bestFit="1" customWidth="1"/>
    <col min="27" max="27" width="17.85546875" bestFit="1" customWidth="1"/>
    <col min="28" max="28" width="10.140625" bestFit="1" customWidth="1"/>
    <col min="54" max="54" width="17.28515625" bestFit="1" customWidth="1"/>
  </cols>
  <sheetData>
    <row r="1" spans="1:54" x14ac:dyDescent="0.25">
      <c r="A1" s="111" t="s">
        <v>125</v>
      </c>
      <c r="B1" s="111" t="s">
        <v>124</v>
      </c>
      <c r="C1" s="111" t="s">
        <v>123</v>
      </c>
      <c r="D1" s="111" t="s">
        <v>122</v>
      </c>
      <c r="E1" s="111" t="s">
        <v>121</v>
      </c>
      <c r="F1" s="111" t="s">
        <v>120</v>
      </c>
      <c r="G1" s="111" t="s">
        <v>119</v>
      </c>
      <c r="H1" s="111" t="s">
        <v>118</v>
      </c>
      <c r="I1" s="111" t="s">
        <v>117</v>
      </c>
      <c r="J1" s="111" t="s">
        <v>116</v>
      </c>
      <c r="K1" s="111" t="s">
        <v>126</v>
      </c>
      <c r="L1" s="111" t="s">
        <v>127</v>
      </c>
      <c r="M1" s="111" t="s">
        <v>128</v>
      </c>
      <c r="N1" s="111" t="s">
        <v>129</v>
      </c>
      <c r="O1" s="111" t="s">
        <v>131</v>
      </c>
      <c r="P1" s="111" t="s">
        <v>132</v>
      </c>
      <c r="Q1" s="111" t="s">
        <v>139</v>
      </c>
      <c r="R1" s="111" t="s">
        <v>140</v>
      </c>
      <c r="S1" s="111" t="s">
        <v>141</v>
      </c>
      <c r="T1" s="111" t="s">
        <v>142</v>
      </c>
      <c r="U1" s="111" t="s">
        <v>143</v>
      </c>
      <c r="V1" s="111" t="s">
        <v>144</v>
      </c>
      <c r="W1" s="111" t="s">
        <v>145</v>
      </c>
      <c r="X1" s="111" t="s">
        <v>146</v>
      </c>
      <c r="Y1" s="111" t="s">
        <v>148</v>
      </c>
      <c r="Z1" s="111" t="s">
        <v>150</v>
      </c>
      <c r="AA1" s="111" t="s">
        <v>153</v>
      </c>
      <c r="AB1" s="111" t="s">
        <v>154</v>
      </c>
    </row>
    <row r="2" spans="1:54" ht="26.25" x14ac:dyDescent="0.4">
      <c r="A2" s="112" t="s">
        <v>100</v>
      </c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2"/>
      <c r="X2" s="112"/>
      <c r="Y2" s="112"/>
      <c r="Z2" s="112"/>
      <c r="AA2" s="112"/>
      <c r="AB2" s="112"/>
    </row>
    <row r="3" spans="1:54" x14ac:dyDescent="0.25">
      <c r="A3" t="s">
        <v>114</v>
      </c>
      <c r="B3" t="s">
        <v>101</v>
      </c>
      <c r="C3" t="s">
        <v>102</v>
      </c>
      <c r="D3" t="s">
        <v>103</v>
      </c>
      <c r="E3" t="s">
        <v>104</v>
      </c>
      <c r="F3" t="s">
        <v>105</v>
      </c>
      <c r="G3" t="s">
        <v>106</v>
      </c>
      <c r="H3" t="s">
        <v>107</v>
      </c>
      <c r="I3" t="s">
        <v>108</v>
      </c>
      <c r="J3" t="s">
        <v>109</v>
      </c>
      <c r="K3" t="s">
        <v>110</v>
      </c>
      <c r="L3" t="s">
        <v>111</v>
      </c>
      <c r="M3" t="s">
        <v>112</v>
      </c>
      <c r="N3" t="s">
        <v>113</v>
      </c>
      <c r="O3" t="s">
        <v>130</v>
      </c>
      <c r="P3" t="s">
        <v>133</v>
      </c>
      <c r="Q3" t="s">
        <v>134</v>
      </c>
      <c r="R3" t="s">
        <v>135</v>
      </c>
      <c r="S3" t="s">
        <v>136</v>
      </c>
      <c r="T3" t="s">
        <v>137</v>
      </c>
      <c r="U3" t="s">
        <v>43</v>
      </c>
      <c r="V3" t="s">
        <v>138</v>
      </c>
      <c r="W3" t="s">
        <v>44</v>
      </c>
      <c r="X3" t="s">
        <v>147</v>
      </c>
      <c r="Y3" t="s">
        <v>149</v>
      </c>
      <c r="Z3" t="s">
        <v>151</v>
      </c>
      <c r="AA3" t="s">
        <v>152</v>
      </c>
      <c r="AB3" t="s">
        <v>211</v>
      </c>
      <c r="BB3" t="s">
        <v>190</v>
      </c>
    </row>
    <row r="4" spans="1:54" x14ac:dyDescent="0.25">
      <c r="A4">
        <v>1000</v>
      </c>
      <c r="B4" t="s">
        <v>155</v>
      </c>
      <c r="C4" t="s">
        <v>156</v>
      </c>
      <c r="D4" t="s">
        <v>157</v>
      </c>
      <c r="E4" t="s">
        <v>171</v>
      </c>
      <c r="F4" t="s">
        <v>202</v>
      </c>
      <c r="G4" t="s">
        <v>191</v>
      </c>
      <c r="H4">
        <v>23401</v>
      </c>
      <c r="K4" s="115" t="s">
        <v>186</v>
      </c>
      <c r="L4" s="115" t="s">
        <v>188</v>
      </c>
      <c r="M4" s="113" t="s">
        <v>181</v>
      </c>
      <c r="N4" s="114">
        <v>37258</v>
      </c>
      <c r="AB4" t="s">
        <v>210</v>
      </c>
      <c r="BB4" t="str">
        <f>IF(B4="","",B4&amp;","&amp;C4)</f>
        <v>Emmanuel,Ilukwe</v>
      </c>
    </row>
    <row r="5" spans="1:54" x14ac:dyDescent="0.25">
      <c r="A5">
        <v>1001</v>
      </c>
      <c r="B5" t="s">
        <v>159</v>
      </c>
      <c r="C5" t="s">
        <v>160</v>
      </c>
      <c r="D5" t="s">
        <v>158</v>
      </c>
      <c r="E5" t="s">
        <v>172</v>
      </c>
      <c r="F5" t="s">
        <v>203</v>
      </c>
      <c r="G5" t="s">
        <v>192</v>
      </c>
      <c r="H5">
        <v>23402</v>
      </c>
      <c r="K5" s="115" t="s">
        <v>187</v>
      </c>
      <c r="L5" s="115" t="s">
        <v>189</v>
      </c>
      <c r="M5" s="113" t="s">
        <v>179</v>
      </c>
      <c r="N5" s="114">
        <v>37259</v>
      </c>
      <c r="BB5" t="str">
        <f t="shared" ref="BB5:BB68" si="0">IF(B5="","",B5&amp;","&amp;C5)</f>
        <v>Juliet,Brown</v>
      </c>
    </row>
    <row r="6" spans="1:54" x14ac:dyDescent="0.25">
      <c r="A6">
        <v>1002</v>
      </c>
      <c r="B6" t="s">
        <v>161</v>
      </c>
      <c r="C6" t="s">
        <v>162</v>
      </c>
      <c r="D6" t="s">
        <v>157</v>
      </c>
      <c r="E6" t="s">
        <v>173</v>
      </c>
      <c r="F6" t="s">
        <v>204</v>
      </c>
      <c r="G6" t="s">
        <v>193</v>
      </c>
      <c r="H6">
        <v>23403</v>
      </c>
      <c r="K6" s="115" t="s">
        <v>186</v>
      </c>
      <c r="L6" s="115" t="s">
        <v>188</v>
      </c>
      <c r="M6" s="113" t="s">
        <v>180</v>
      </c>
      <c r="N6" s="114">
        <v>37260</v>
      </c>
      <c r="BB6" t="str">
        <f t="shared" si="0"/>
        <v>Andrew,Pipe</v>
      </c>
    </row>
    <row r="7" spans="1:54" x14ac:dyDescent="0.25">
      <c r="A7">
        <v>1003</v>
      </c>
      <c r="B7" t="s">
        <v>163</v>
      </c>
      <c r="C7" t="s">
        <v>164</v>
      </c>
      <c r="D7" t="s">
        <v>158</v>
      </c>
      <c r="E7" t="s">
        <v>174</v>
      </c>
      <c r="F7" t="s">
        <v>205</v>
      </c>
      <c r="G7" t="s">
        <v>194</v>
      </c>
      <c r="H7">
        <v>23404</v>
      </c>
      <c r="K7" s="115" t="s">
        <v>187</v>
      </c>
      <c r="L7" s="115" t="s">
        <v>189</v>
      </c>
      <c r="M7" s="113" t="s">
        <v>182</v>
      </c>
      <c r="N7" s="114">
        <v>37261</v>
      </c>
      <c r="BB7" t="str">
        <f t="shared" si="0"/>
        <v>Dania,John</v>
      </c>
    </row>
    <row r="8" spans="1:54" x14ac:dyDescent="0.25">
      <c r="A8">
        <v>1004</v>
      </c>
      <c r="B8" t="s">
        <v>165</v>
      </c>
      <c r="C8" t="s">
        <v>166</v>
      </c>
      <c r="D8" t="s">
        <v>158</v>
      </c>
      <c r="E8" t="s">
        <v>175</v>
      </c>
      <c r="F8" t="s">
        <v>202</v>
      </c>
      <c r="G8" t="s">
        <v>195</v>
      </c>
      <c r="H8">
        <v>23405</v>
      </c>
      <c r="K8" s="115" t="s">
        <v>186</v>
      </c>
      <c r="L8" s="115" t="s">
        <v>188</v>
      </c>
      <c r="M8" s="113" t="s">
        <v>183</v>
      </c>
      <c r="N8" s="114">
        <v>37262</v>
      </c>
      <c r="BB8" t="str">
        <f t="shared" si="0"/>
        <v>Christy,Amber</v>
      </c>
    </row>
    <row r="9" spans="1:54" x14ac:dyDescent="0.25">
      <c r="A9">
        <v>1005</v>
      </c>
      <c r="B9" t="s">
        <v>167</v>
      </c>
      <c r="C9" t="s">
        <v>168</v>
      </c>
      <c r="D9" t="s">
        <v>158</v>
      </c>
      <c r="E9" t="s">
        <v>176</v>
      </c>
      <c r="F9" t="s">
        <v>203</v>
      </c>
      <c r="G9" t="s">
        <v>196</v>
      </c>
      <c r="H9">
        <v>23406</v>
      </c>
      <c r="K9" s="115" t="s">
        <v>187</v>
      </c>
      <c r="L9" s="115" t="s">
        <v>189</v>
      </c>
      <c r="M9" s="113" t="s">
        <v>184</v>
      </c>
      <c r="N9" s="114">
        <v>37263</v>
      </c>
      <c r="BB9" t="str">
        <f t="shared" si="0"/>
        <v>Judy,Ben</v>
      </c>
    </row>
    <row r="10" spans="1:54" x14ac:dyDescent="0.25">
      <c r="A10">
        <v>1006</v>
      </c>
      <c r="B10" t="s">
        <v>169</v>
      </c>
      <c r="C10" t="s">
        <v>170</v>
      </c>
      <c r="D10" t="s">
        <v>157</v>
      </c>
      <c r="E10" t="s">
        <v>177</v>
      </c>
      <c r="F10" t="s">
        <v>204</v>
      </c>
      <c r="G10" t="s">
        <v>197</v>
      </c>
      <c r="H10">
        <v>23407</v>
      </c>
      <c r="K10" s="115" t="s">
        <v>186</v>
      </c>
      <c r="L10" s="115" t="s">
        <v>188</v>
      </c>
      <c r="M10" s="113" t="s">
        <v>185</v>
      </c>
      <c r="N10" s="114">
        <v>37264</v>
      </c>
      <c r="BB10" t="str">
        <f t="shared" si="0"/>
        <v>Festus,Badin</v>
      </c>
    </row>
    <row r="11" spans="1:54" x14ac:dyDescent="0.25">
      <c r="A11">
        <v>1007</v>
      </c>
      <c r="D11" t="s">
        <v>157</v>
      </c>
      <c r="E11" t="s">
        <v>178</v>
      </c>
      <c r="F11" t="s">
        <v>205</v>
      </c>
      <c r="G11" t="s">
        <v>198</v>
      </c>
      <c r="H11">
        <v>23408</v>
      </c>
      <c r="K11" s="115" t="s">
        <v>187</v>
      </c>
      <c r="L11" s="115" t="s">
        <v>189</v>
      </c>
      <c r="M11" s="113" t="s">
        <v>181</v>
      </c>
      <c r="N11" s="114">
        <v>37265</v>
      </c>
      <c r="BB11" t="str">
        <f t="shared" si="0"/>
        <v/>
      </c>
    </row>
    <row r="12" spans="1:54" x14ac:dyDescent="0.25">
      <c r="A12">
        <v>1008</v>
      </c>
      <c r="D12" t="s">
        <v>158</v>
      </c>
      <c r="E12" t="s">
        <v>171</v>
      </c>
      <c r="F12" t="s">
        <v>202</v>
      </c>
      <c r="G12" t="s">
        <v>199</v>
      </c>
      <c r="H12">
        <v>23409</v>
      </c>
      <c r="K12" s="115" t="s">
        <v>186</v>
      </c>
      <c r="L12" s="115" t="s">
        <v>188</v>
      </c>
      <c r="M12" s="113" t="s">
        <v>179</v>
      </c>
      <c r="N12" s="114">
        <v>37266</v>
      </c>
      <c r="BB12" t="str">
        <f t="shared" si="0"/>
        <v/>
      </c>
    </row>
    <row r="13" spans="1:54" x14ac:dyDescent="0.25">
      <c r="A13">
        <v>1009</v>
      </c>
      <c r="D13" t="s">
        <v>157</v>
      </c>
      <c r="E13" t="s">
        <v>172</v>
      </c>
      <c r="F13" t="s">
        <v>203</v>
      </c>
      <c r="G13" t="s">
        <v>200</v>
      </c>
      <c r="H13">
        <v>23410</v>
      </c>
      <c r="K13" s="115" t="s">
        <v>187</v>
      </c>
      <c r="L13" s="115" t="s">
        <v>189</v>
      </c>
      <c r="M13" s="113" t="s">
        <v>180</v>
      </c>
      <c r="N13" s="114">
        <v>37267</v>
      </c>
      <c r="BB13" t="str">
        <f t="shared" si="0"/>
        <v/>
      </c>
    </row>
    <row r="14" spans="1:54" x14ac:dyDescent="0.25">
      <c r="A14">
        <v>1010</v>
      </c>
      <c r="D14" t="s">
        <v>158</v>
      </c>
      <c r="E14" t="s">
        <v>173</v>
      </c>
      <c r="F14" t="s">
        <v>204</v>
      </c>
      <c r="G14" t="s">
        <v>201</v>
      </c>
      <c r="H14">
        <v>23411</v>
      </c>
      <c r="K14" s="115" t="s">
        <v>186</v>
      </c>
      <c r="L14" s="115" t="s">
        <v>188</v>
      </c>
      <c r="M14" s="113" t="s">
        <v>182</v>
      </c>
      <c r="N14" s="114">
        <v>37268</v>
      </c>
      <c r="BB14" t="str">
        <f t="shared" si="0"/>
        <v/>
      </c>
    </row>
    <row r="15" spans="1:54" x14ac:dyDescent="0.25">
      <c r="A15">
        <v>1011</v>
      </c>
      <c r="D15" t="s">
        <v>157</v>
      </c>
      <c r="E15" t="s">
        <v>174</v>
      </c>
      <c r="F15" t="s">
        <v>205</v>
      </c>
      <c r="G15" t="s">
        <v>191</v>
      </c>
      <c r="H15">
        <v>23412</v>
      </c>
      <c r="K15" s="115" t="s">
        <v>187</v>
      </c>
      <c r="L15" s="115" t="s">
        <v>189</v>
      </c>
      <c r="M15" s="113" t="s">
        <v>181</v>
      </c>
      <c r="N15" s="114">
        <v>37269</v>
      </c>
      <c r="BB15" t="str">
        <f t="shared" si="0"/>
        <v/>
      </c>
    </row>
    <row r="16" spans="1:54" x14ac:dyDescent="0.25">
      <c r="A16">
        <v>1012</v>
      </c>
      <c r="D16" t="s">
        <v>157</v>
      </c>
      <c r="E16" t="s">
        <v>175</v>
      </c>
      <c r="F16" t="s">
        <v>202</v>
      </c>
      <c r="G16" t="s">
        <v>192</v>
      </c>
      <c r="H16">
        <v>23413</v>
      </c>
      <c r="K16" s="115" t="s">
        <v>186</v>
      </c>
      <c r="L16" s="115" t="s">
        <v>188</v>
      </c>
      <c r="M16" s="113" t="s">
        <v>179</v>
      </c>
      <c r="N16" s="114">
        <v>37270</v>
      </c>
      <c r="BB16" t="str">
        <f t="shared" si="0"/>
        <v/>
      </c>
    </row>
    <row r="17" spans="1:54" x14ac:dyDescent="0.25">
      <c r="A17">
        <v>1013</v>
      </c>
      <c r="D17" t="s">
        <v>157</v>
      </c>
      <c r="E17" t="s">
        <v>176</v>
      </c>
      <c r="F17" t="s">
        <v>203</v>
      </c>
      <c r="G17" t="s">
        <v>193</v>
      </c>
      <c r="H17">
        <v>23414</v>
      </c>
      <c r="K17" s="115" t="s">
        <v>187</v>
      </c>
      <c r="L17" s="115" t="s">
        <v>189</v>
      </c>
      <c r="M17" s="113" t="s">
        <v>180</v>
      </c>
      <c r="N17" s="114">
        <v>37271</v>
      </c>
      <c r="BB17" t="str">
        <f t="shared" si="0"/>
        <v/>
      </c>
    </row>
    <row r="18" spans="1:54" x14ac:dyDescent="0.25">
      <c r="A18">
        <v>1014</v>
      </c>
      <c r="D18" t="s">
        <v>157</v>
      </c>
      <c r="E18" t="s">
        <v>177</v>
      </c>
      <c r="F18" t="s">
        <v>204</v>
      </c>
      <c r="G18" t="s">
        <v>194</v>
      </c>
      <c r="H18">
        <v>23415</v>
      </c>
      <c r="K18" s="115" t="s">
        <v>186</v>
      </c>
      <c r="L18" s="115" t="s">
        <v>188</v>
      </c>
      <c r="M18" s="113" t="s">
        <v>182</v>
      </c>
      <c r="N18" s="114">
        <v>37272</v>
      </c>
      <c r="BB18" t="str">
        <f t="shared" si="0"/>
        <v/>
      </c>
    </row>
    <row r="19" spans="1:54" x14ac:dyDescent="0.25">
      <c r="A19">
        <v>1015</v>
      </c>
      <c r="D19" t="s">
        <v>157</v>
      </c>
      <c r="E19" t="s">
        <v>178</v>
      </c>
      <c r="F19" t="s">
        <v>205</v>
      </c>
      <c r="G19" t="s">
        <v>195</v>
      </c>
      <c r="H19">
        <v>23416</v>
      </c>
      <c r="K19" s="115" t="s">
        <v>187</v>
      </c>
      <c r="L19" s="115" t="s">
        <v>189</v>
      </c>
      <c r="M19" s="113" t="s">
        <v>183</v>
      </c>
      <c r="N19" s="114">
        <v>37273</v>
      </c>
      <c r="BB19" t="str">
        <f t="shared" si="0"/>
        <v/>
      </c>
    </row>
    <row r="20" spans="1:54" x14ac:dyDescent="0.25">
      <c r="A20">
        <v>1016</v>
      </c>
      <c r="D20" t="s">
        <v>157</v>
      </c>
      <c r="E20" t="s">
        <v>171</v>
      </c>
      <c r="F20" t="s">
        <v>202</v>
      </c>
      <c r="G20" t="s">
        <v>196</v>
      </c>
      <c r="H20">
        <v>23417</v>
      </c>
      <c r="K20" s="115" t="s">
        <v>186</v>
      </c>
      <c r="L20" s="115" t="s">
        <v>188</v>
      </c>
      <c r="M20" s="113" t="s">
        <v>184</v>
      </c>
      <c r="N20" s="114">
        <v>37274</v>
      </c>
      <c r="BB20" t="str">
        <f t="shared" si="0"/>
        <v/>
      </c>
    </row>
    <row r="21" spans="1:54" x14ac:dyDescent="0.25">
      <c r="A21">
        <v>1017</v>
      </c>
      <c r="D21" t="s">
        <v>158</v>
      </c>
      <c r="E21" t="s">
        <v>172</v>
      </c>
      <c r="F21" t="s">
        <v>203</v>
      </c>
      <c r="G21" t="s">
        <v>197</v>
      </c>
      <c r="H21">
        <v>23418</v>
      </c>
      <c r="K21" s="115" t="s">
        <v>187</v>
      </c>
      <c r="L21" s="115" t="s">
        <v>189</v>
      </c>
      <c r="M21" s="113" t="s">
        <v>185</v>
      </c>
      <c r="N21" s="114">
        <v>37275</v>
      </c>
      <c r="BB21" t="str">
        <f t="shared" si="0"/>
        <v/>
      </c>
    </row>
    <row r="22" spans="1:54" x14ac:dyDescent="0.25">
      <c r="A22">
        <v>1018</v>
      </c>
      <c r="D22" t="s">
        <v>158</v>
      </c>
      <c r="E22" t="s">
        <v>173</v>
      </c>
      <c r="F22" t="s">
        <v>204</v>
      </c>
      <c r="G22" t="s">
        <v>198</v>
      </c>
      <c r="H22">
        <v>23419</v>
      </c>
      <c r="K22" s="115" t="s">
        <v>186</v>
      </c>
      <c r="L22" s="115" t="s">
        <v>188</v>
      </c>
      <c r="M22" s="113" t="s">
        <v>181</v>
      </c>
      <c r="N22" s="114">
        <v>37276</v>
      </c>
      <c r="BB22" t="str">
        <f t="shared" si="0"/>
        <v/>
      </c>
    </row>
    <row r="23" spans="1:54" x14ac:dyDescent="0.25">
      <c r="A23">
        <v>1019</v>
      </c>
      <c r="D23" t="s">
        <v>158</v>
      </c>
      <c r="E23" t="s">
        <v>174</v>
      </c>
      <c r="F23" t="s">
        <v>205</v>
      </c>
      <c r="G23" t="s">
        <v>199</v>
      </c>
      <c r="H23">
        <v>23420</v>
      </c>
      <c r="K23" s="115" t="s">
        <v>187</v>
      </c>
      <c r="L23" s="115" t="s">
        <v>189</v>
      </c>
      <c r="M23" s="113" t="s">
        <v>179</v>
      </c>
      <c r="N23" s="114">
        <v>37277</v>
      </c>
      <c r="BB23" t="str">
        <f t="shared" si="0"/>
        <v/>
      </c>
    </row>
    <row r="24" spans="1:54" x14ac:dyDescent="0.25">
      <c r="A24">
        <v>1020</v>
      </c>
      <c r="D24" t="s">
        <v>158</v>
      </c>
      <c r="E24" t="s">
        <v>175</v>
      </c>
      <c r="F24" t="s">
        <v>202</v>
      </c>
      <c r="G24" t="s">
        <v>200</v>
      </c>
      <c r="H24">
        <v>23421</v>
      </c>
      <c r="K24" s="115" t="s">
        <v>186</v>
      </c>
      <c r="L24" s="115" t="s">
        <v>188</v>
      </c>
      <c r="M24" s="113" t="s">
        <v>180</v>
      </c>
      <c r="N24" s="114">
        <v>37278</v>
      </c>
      <c r="BB24" t="str">
        <f t="shared" si="0"/>
        <v/>
      </c>
    </row>
    <row r="25" spans="1:54" x14ac:dyDescent="0.25">
      <c r="A25">
        <v>1021</v>
      </c>
      <c r="D25" t="s">
        <v>158</v>
      </c>
      <c r="E25" t="s">
        <v>176</v>
      </c>
      <c r="F25" t="s">
        <v>203</v>
      </c>
      <c r="G25" t="s">
        <v>201</v>
      </c>
      <c r="H25">
        <v>23422</v>
      </c>
      <c r="K25" s="115" t="s">
        <v>187</v>
      </c>
      <c r="L25" s="115" t="s">
        <v>189</v>
      </c>
      <c r="M25" s="113" t="s">
        <v>182</v>
      </c>
      <c r="N25" s="114">
        <v>37279</v>
      </c>
      <c r="BB25" t="str">
        <f t="shared" si="0"/>
        <v/>
      </c>
    </row>
    <row r="26" spans="1:54" x14ac:dyDescent="0.25">
      <c r="A26">
        <v>1022</v>
      </c>
      <c r="D26" t="s">
        <v>157</v>
      </c>
      <c r="E26" t="s">
        <v>177</v>
      </c>
      <c r="F26" t="s">
        <v>204</v>
      </c>
      <c r="G26" t="s">
        <v>191</v>
      </c>
      <c r="H26">
        <v>23423</v>
      </c>
      <c r="K26" s="115" t="s">
        <v>186</v>
      </c>
      <c r="L26" s="115" t="s">
        <v>188</v>
      </c>
      <c r="M26" s="113" t="s">
        <v>181</v>
      </c>
      <c r="N26" s="114">
        <v>37280</v>
      </c>
      <c r="BB26" t="str">
        <f t="shared" si="0"/>
        <v/>
      </c>
    </row>
    <row r="27" spans="1:54" x14ac:dyDescent="0.25">
      <c r="A27">
        <v>1023</v>
      </c>
      <c r="D27" t="s">
        <v>158</v>
      </c>
      <c r="E27" t="s">
        <v>178</v>
      </c>
      <c r="F27" t="s">
        <v>205</v>
      </c>
      <c r="G27" t="s">
        <v>192</v>
      </c>
      <c r="H27">
        <v>23424</v>
      </c>
      <c r="K27" s="115" t="s">
        <v>187</v>
      </c>
      <c r="L27" s="115" t="s">
        <v>189</v>
      </c>
      <c r="M27" s="113" t="s">
        <v>179</v>
      </c>
      <c r="N27" s="114">
        <v>37281</v>
      </c>
      <c r="BB27" t="str">
        <f t="shared" si="0"/>
        <v/>
      </c>
    </row>
    <row r="28" spans="1:54" x14ac:dyDescent="0.25">
      <c r="A28">
        <v>1024</v>
      </c>
      <c r="D28" t="s">
        <v>157</v>
      </c>
      <c r="E28" t="s">
        <v>171</v>
      </c>
      <c r="F28" t="s">
        <v>202</v>
      </c>
      <c r="G28" t="s">
        <v>193</v>
      </c>
      <c r="H28">
        <v>23425</v>
      </c>
      <c r="K28" s="115" t="s">
        <v>186</v>
      </c>
      <c r="L28" s="115" t="s">
        <v>188</v>
      </c>
      <c r="M28" s="113" t="s">
        <v>180</v>
      </c>
      <c r="N28" s="114">
        <v>37282</v>
      </c>
      <c r="BB28" t="str">
        <f t="shared" si="0"/>
        <v/>
      </c>
    </row>
    <row r="29" spans="1:54" x14ac:dyDescent="0.25">
      <c r="A29">
        <v>1025</v>
      </c>
      <c r="D29" t="s">
        <v>158</v>
      </c>
      <c r="E29" t="s">
        <v>172</v>
      </c>
      <c r="F29" t="s">
        <v>203</v>
      </c>
      <c r="G29" t="s">
        <v>194</v>
      </c>
      <c r="H29">
        <v>23426</v>
      </c>
      <c r="K29" s="115" t="s">
        <v>187</v>
      </c>
      <c r="L29" s="115" t="s">
        <v>189</v>
      </c>
      <c r="M29" s="113" t="s">
        <v>182</v>
      </c>
      <c r="N29" s="114">
        <v>37283</v>
      </c>
      <c r="BB29" t="str">
        <f t="shared" si="0"/>
        <v/>
      </c>
    </row>
    <row r="30" spans="1:54" x14ac:dyDescent="0.25">
      <c r="A30">
        <v>1026</v>
      </c>
      <c r="D30" t="s">
        <v>157</v>
      </c>
      <c r="E30" t="s">
        <v>173</v>
      </c>
      <c r="F30" t="s">
        <v>204</v>
      </c>
      <c r="G30" t="s">
        <v>195</v>
      </c>
      <c r="H30">
        <v>23427</v>
      </c>
      <c r="K30" s="115" t="s">
        <v>186</v>
      </c>
      <c r="L30" s="115" t="s">
        <v>188</v>
      </c>
      <c r="M30" s="113" t="s">
        <v>183</v>
      </c>
      <c r="N30" s="114">
        <v>37284</v>
      </c>
      <c r="BB30" t="str">
        <f t="shared" si="0"/>
        <v/>
      </c>
    </row>
    <row r="31" spans="1:54" x14ac:dyDescent="0.25">
      <c r="A31">
        <v>1027</v>
      </c>
      <c r="D31" t="s">
        <v>158</v>
      </c>
      <c r="E31" t="s">
        <v>174</v>
      </c>
      <c r="F31" t="s">
        <v>205</v>
      </c>
      <c r="G31" t="s">
        <v>196</v>
      </c>
      <c r="H31">
        <v>23428</v>
      </c>
      <c r="K31" s="115" t="s">
        <v>187</v>
      </c>
      <c r="L31" s="115" t="s">
        <v>189</v>
      </c>
      <c r="M31" s="113" t="s">
        <v>184</v>
      </c>
      <c r="N31" s="114">
        <v>37285</v>
      </c>
      <c r="BB31" t="str">
        <f t="shared" si="0"/>
        <v/>
      </c>
    </row>
    <row r="32" spans="1:54" x14ac:dyDescent="0.25">
      <c r="A32">
        <v>1028</v>
      </c>
      <c r="D32" t="s">
        <v>157</v>
      </c>
      <c r="E32" t="s">
        <v>175</v>
      </c>
      <c r="F32" t="s">
        <v>202</v>
      </c>
      <c r="G32" t="s">
        <v>197</v>
      </c>
      <c r="H32">
        <v>23429</v>
      </c>
      <c r="K32" s="115" t="s">
        <v>186</v>
      </c>
      <c r="L32" s="115" t="s">
        <v>188</v>
      </c>
      <c r="M32" s="113" t="s">
        <v>185</v>
      </c>
      <c r="N32" s="114">
        <v>37286</v>
      </c>
      <c r="BB32" t="str">
        <f t="shared" si="0"/>
        <v/>
      </c>
    </row>
    <row r="33" spans="1:54" x14ac:dyDescent="0.25">
      <c r="A33">
        <v>1029</v>
      </c>
      <c r="D33" t="s">
        <v>158</v>
      </c>
      <c r="E33" t="s">
        <v>176</v>
      </c>
      <c r="F33" t="s">
        <v>203</v>
      </c>
      <c r="G33" t="s">
        <v>198</v>
      </c>
      <c r="H33">
        <v>23430</v>
      </c>
      <c r="K33" s="115" t="s">
        <v>187</v>
      </c>
      <c r="L33" s="115" t="s">
        <v>189</v>
      </c>
      <c r="M33" s="113" t="s">
        <v>181</v>
      </c>
      <c r="N33" s="114">
        <v>37287</v>
      </c>
      <c r="BB33" t="str">
        <f t="shared" si="0"/>
        <v/>
      </c>
    </row>
    <row r="34" spans="1:54" x14ac:dyDescent="0.25">
      <c r="A34">
        <v>1030</v>
      </c>
      <c r="D34" t="s">
        <v>157</v>
      </c>
      <c r="E34" t="s">
        <v>177</v>
      </c>
      <c r="F34" t="s">
        <v>204</v>
      </c>
      <c r="G34" t="s">
        <v>199</v>
      </c>
      <c r="H34">
        <v>23431</v>
      </c>
      <c r="K34" s="115" t="s">
        <v>186</v>
      </c>
      <c r="L34" s="115" t="s">
        <v>188</v>
      </c>
      <c r="M34" s="113" t="s">
        <v>179</v>
      </c>
      <c r="N34" s="114">
        <v>37288</v>
      </c>
      <c r="BB34" t="str">
        <f t="shared" si="0"/>
        <v/>
      </c>
    </row>
    <row r="35" spans="1:54" x14ac:dyDescent="0.25">
      <c r="BB35" t="str">
        <f t="shared" si="0"/>
        <v/>
      </c>
    </row>
    <row r="36" spans="1:54" x14ac:dyDescent="0.25">
      <c r="BB36" t="str">
        <f t="shared" si="0"/>
        <v/>
      </c>
    </row>
    <row r="37" spans="1:54" x14ac:dyDescent="0.25">
      <c r="BB37" t="str">
        <f t="shared" si="0"/>
        <v/>
      </c>
    </row>
    <row r="38" spans="1:54" x14ac:dyDescent="0.25">
      <c r="BB38" t="str">
        <f>IF(B38="","",B38&amp;","&amp;C38)</f>
        <v/>
      </c>
    </row>
    <row r="39" spans="1:54" x14ac:dyDescent="0.25">
      <c r="BB39" t="str">
        <f t="shared" si="0"/>
        <v/>
      </c>
    </row>
    <row r="40" spans="1:54" x14ac:dyDescent="0.25">
      <c r="BB40" t="str">
        <f t="shared" si="0"/>
        <v/>
      </c>
    </row>
    <row r="41" spans="1:54" x14ac:dyDescent="0.25">
      <c r="BB41" t="str">
        <f t="shared" si="0"/>
        <v/>
      </c>
    </row>
    <row r="42" spans="1:54" x14ac:dyDescent="0.25">
      <c r="BB42" t="str">
        <f t="shared" si="0"/>
        <v/>
      </c>
    </row>
    <row r="43" spans="1:54" x14ac:dyDescent="0.25">
      <c r="BB43" t="str">
        <f t="shared" si="0"/>
        <v/>
      </c>
    </row>
    <row r="44" spans="1:54" x14ac:dyDescent="0.25">
      <c r="BB44" t="str">
        <f t="shared" si="0"/>
        <v/>
      </c>
    </row>
    <row r="45" spans="1:54" x14ac:dyDescent="0.25">
      <c r="BB45" t="str">
        <f t="shared" si="0"/>
        <v/>
      </c>
    </row>
    <row r="46" spans="1:54" x14ac:dyDescent="0.25">
      <c r="BB46" t="str">
        <f t="shared" si="0"/>
        <v/>
      </c>
    </row>
    <row r="47" spans="1:54" x14ac:dyDescent="0.25">
      <c r="BB47" t="str">
        <f t="shared" si="0"/>
        <v/>
      </c>
    </row>
    <row r="48" spans="1:54" x14ac:dyDescent="0.25">
      <c r="BB48" t="str">
        <f t="shared" si="0"/>
        <v/>
      </c>
    </row>
    <row r="49" spans="54:54" x14ac:dyDescent="0.25">
      <c r="BB49" t="str">
        <f t="shared" si="0"/>
        <v/>
      </c>
    </row>
    <row r="50" spans="54:54" x14ac:dyDescent="0.25">
      <c r="BB50" t="str">
        <f t="shared" si="0"/>
        <v/>
      </c>
    </row>
    <row r="51" spans="54:54" x14ac:dyDescent="0.25">
      <c r="BB51" t="str">
        <f t="shared" si="0"/>
        <v/>
      </c>
    </row>
    <row r="52" spans="54:54" x14ac:dyDescent="0.25">
      <c r="BB52" t="str">
        <f t="shared" si="0"/>
        <v/>
      </c>
    </row>
    <row r="53" spans="54:54" x14ac:dyDescent="0.25">
      <c r="BB53" t="str">
        <f t="shared" si="0"/>
        <v/>
      </c>
    </row>
    <row r="54" spans="54:54" x14ac:dyDescent="0.25">
      <c r="BB54" t="str">
        <f t="shared" si="0"/>
        <v/>
      </c>
    </row>
    <row r="55" spans="54:54" x14ac:dyDescent="0.25">
      <c r="BB55" t="str">
        <f t="shared" si="0"/>
        <v/>
      </c>
    </row>
    <row r="56" spans="54:54" x14ac:dyDescent="0.25">
      <c r="BB56" t="str">
        <f t="shared" si="0"/>
        <v/>
      </c>
    </row>
    <row r="57" spans="54:54" x14ac:dyDescent="0.25">
      <c r="BB57" t="str">
        <f t="shared" si="0"/>
        <v/>
      </c>
    </row>
    <row r="58" spans="54:54" x14ac:dyDescent="0.25">
      <c r="BB58" t="str">
        <f t="shared" si="0"/>
        <v/>
      </c>
    </row>
    <row r="59" spans="54:54" x14ac:dyDescent="0.25">
      <c r="BB59" t="str">
        <f t="shared" si="0"/>
        <v/>
      </c>
    </row>
    <row r="60" spans="54:54" x14ac:dyDescent="0.25">
      <c r="BB60" t="str">
        <f t="shared" si="0"/>
        <v/>
      </c>
    </row>
    <row r="61" spans="54:54" x14ac:dyDescent="0.25">
      <c r="BB61" t="str">
        <f t="shared" si="0"/>
        <v/>
      </c>
    </row>
    <row r="62" spans="54:54" x14ac:dyDescent="0.25">
      <c r="BB62" t="str">
        <f t="shared" si="0"/>
        <v/>
      </c>
    </row>
    <row r="63" spans="54:54" x14ac:dyDescent="0.25">
      <c r="BB63" t="str">
        <f t="shared" si="0"/>
        <v/>
      </c>
    </row>
    <row r="64" spans="54:54" x14ac:dyDescent="0.25">
      <c r="BB64" t="str">
        <f t="shared" si="0"/>
        <v/>
      </c>
    </row>
    <row r="65" spans="54:54" x14ac:dyDescent="0.25">
      <c r="BB65" t="str">
        <f t="shared" si="0"/>
        <v/>
      </c>
    </row>
    <row r="66" spans="54:54" x14ac:dyDescent="0.25">
      <c r="BB66" t="str">
        <f t="shared" si="0"/>
        <v/>
      </c>
    </row>
    <row r="67" spans="54:54" x14ac:dyDescent="0.25">
      <c r="BB67" t="str">
        <f t="shared" si="0"/>
        <v/>
      </c>
    </row>
    <row r="68" spans="54:54" x14ac:dyDescent="0.25">
      <c r="BB68" t="str">
        <f t="shared" si="0"/>
        <v/>
      </c>
    </row>
    <row r="69" spans="54:54" x14ac:dyDescent="0.25">
      <c r="BB69" t="str">
        <f t="shared" ref="BB69:BB132" si="1">IF(B69="","",B69&amp;","&amp;C69)</f>
        <v/>
      </c>
    </row>
    <row r="70" spans="54:54" x14ac:dyDescent="0.25">
      <c r="BB70" t="str">
        <f t="shared" si="1"/>
        <v/>
      </c>
    </row>
    <row r="71" spans="54:54" x14ac:dyDescent="0.25">
      <c r="BB71" t="str">
        <f t="shared" si="1"/>
        <v/>
      </c>
    </row>
    <row r="72" spans="54:54" x14ac:dyDescent="0.25">
      <c r="BB72" t="str">
        <f t="shared" si="1"/>
        <v/>
      </c>
    </row>
    <row r="73" spans="54:54" x14ac:dyDescent="0.25">
      <c r="BB73" t="str">
        <f t="shared" si="1"/>
        <v/>
      </c>
    </row>
    <row r="74" spans="54:54" x14ac:dyDescent="0.25">
      <c r="BB74" t="str">
        <f t="shared" si="1"/>
        <v/>
      </c>
    </row>
    <row r="75" spans="54:54" x14ac:dyDescent="0.25">
      <c r="BB75" t="str">
        <f t="shared" si="1"/>
        <v/>
      </c>
    </row>
    <row r="76" spans="54:54" x14ac:dyDescent="0.25">
      <c r="BB76" t="str">
        <f t="shared" si="1"/>
        <v/>
      </c>
    </row>
    <row r="77" spans="54:54" x14ac:dyDescent="0.25">
      <c r="BB77" t="str">
        <f t="shared" si="1"/>
        <v/>
      </c>
    </row>
    <row r="78" spans="54:54" x14ac:dyDescent="0.25">
      <c r="BB78" t="str">
        <f t="shared" si="1"/>
        <v/>
      </c>
    </row>
    <row r="79" spans="54:54" x14ac:dyDescent="0.25">
      <c r="BB79" t="str">
        <f t="shared" si="1"/>
        <v/>
      </c>
    </row>
    <row r="80" spans="54:54" x14ac:dyDescent="0.25">
      <c r="BB80" t="str">
        <f t="shared" si="1"/>
        <v/>
      </c>
    </row>
    <row r="81" spans="54:54" x14ac:dyDescent="0.25">
      <c r="BB81" t="str">
        <f t="shared" si="1"/>
        <v/>
      </c>
    </row>
    <row r="82" spans="54:54" x14ac:dyDescent="0.25">
      <c r="BB82" t="str">
        <f t="shared" si="1"/>
        <v/>
      </c>
    </row>
    <row r="83" spans="54:54" x14ac:dyDescent="0.25">
      <c r="BB83" t="str">
        <f t="shared" si="1"/>
        <v/>
      </c>
    </row>
    <row r="84" spans="54:54" x14ac:dyDescent="0.25">
      <c r="BB84" t="str">
        <f t="shared" si="1"/>
        <v/>
      </c>
    </row>
    <row r="85" spans="54:54" x14ac:dyDescent="0.25">
      <c r="BB85" t="str">
        <f t="shared" si="1"/>
        <v/>
      </c>
    </row>
    <row r="86" spans="54:54" x14ac:dyDescent="0.25">
      <c r="BB86" t="str">
        <f t="shared" si="1"/>
        <v/>
      </c>
    </row>
    <row r="87" spans="54:54" x14ac:dyDescent="0.25">
      <c r="BB87" t="str">
        <f t="shared" si="1"/>
        <v/>
      </c>
    </row>
    <row r="88" spans="54:54" x14ac:dyDescent="0.25">
      <c r="BB88" t="str">
        <f t="shared" si="1"/>
        <v/>
      </c>
    </row>
    <row r="89" spans="54:54" x14ac:dyDescent="0.25">
      <c r="BB89" t="str">
        <f t="shared" si="1"/>
        <v/>
      </c>
    </row>
    <row r="90" spans="54:54" x14ac:dyDescent="0.25">
      <c r="BB90" t="str">
        <f t="shared" si="1"/>
        <v/>
      </c>
    </row>
    <row r="91" spans="54:54" x14ac:dyDescent="0.25">
      <c r="BB91" t="str">
        <f t="shared" si="1"/>
        <v/>
      </c>
    </row>
    <row r="92" spans="54:54" x14ac:dyDescent="0.25">
      <c r="BB92" t="str">
        <f t="shared" si="1"/>
        <v/>
      </c>
    </row>
    <row r="93" spans="54:54" x14ac:dyDescent="0.25">
      <c r="BB93" t="str">
        <f t="shared" si="1"/>
        <v/>
      </c>
    </row>
    <row r="94" spans="54:54" x14ac:dyDescent="0.25">
      <c r="BB94" t="str">
        <f t="shared" si="1"/>
        <v/>
      </c>
    </row>
    <row r="95" spans="54:54" x14ac:dyDescent="0.25">
      <c r="BB95" t="str">
        <f t="shared" si="1"/>
        <v/>
      </c>
    </row>
    <row r="96" spans="54:54" x14ac:dyDescent="0.25">
      <c r="BB96" t="str">
        <f t="shared" si="1"/>
        <v/>
      </c>
    </row>
    <row r="97" spans="54:54" x14ac:dyDescent="0.25">
      <c r="BB97" t="str">
        <f t="shared" si="1"/>
        <v/>
      </c>
    </row>
    <row r="98" spans="54:54" x14ac:dyDescent="0.25">
      <c r="BB98" t="str">
        <f t="shared" si="1"/>
        <v/>
      </c>
    </row>
    <row r="99" spans="54:54" x14ac:dyDescent="0.25">
      <c r="BB99" t="str">
        <f t="shared" si="1"/>
        <v/>
      </c>
    </row>
    <row r="100" spans="54:54" x14ac:dyDescent="0.25">
      <c r="BB100" t="str">
        <f t="shared" si="1"/>
        <v/>
      </c>
    </row>
    <row r="101" spans="54:54" x14ac:dyDescent="0.25">
      <c r="BB101" t="str">
        <f t="shared" si="1"/>
        <v/>
      </c>
    </row>
    <row r="102" spans="54:54" x14ac:dyDescent="0.25">
      <c r="BB102" t="str">
        <f t="shared" si="1"/>
        <v/>
      </c>
    </row>
    <row r="103" spans="54:54" x14ac:dyDescent="0.25">
      <c r="BB103" t="str">
        <f t="shared" si="1"/>
        <v/>
      </c>
    </row>
    <row r="104" spans="54:54" x14ac:dyDescent="0.25">
      <c r="BB104" t="str">
        <f t="shared" si="1"/>
        <v/>
      </c>
    </row>
    <row r="105" spans="54:54" x14ac:dyDescent="0.25">
      <c r="BB105" t="str">
        <f t="shared" si="1"/>
        <v/>
      </c>
    </row>
    <row r="106" spans="54:54" x14ac:dyDescent="0.25">
      <c r="BB106" t="str">
        <f t="shared" si="1"/>
        <v/>
      </c>
    </row>
    <row r="107" spans="54:54" x14ac:dyDescent="0.25">
      <c r="BB107" t="str">
        <f t="shared" si="1"/>
        <v/>
      </c>
    </row>
    <row r="108" spans="54:54" x14ac:dyDescent="0.25">
      <c r="BB108" t="str">
        <f t="shared" si="1"/>
        <v/>
      </c>
    </row>
    <row r="109" spans="54:54" x14ac:dyDescent="0.25">
      <c r="BB109" t="str">
        <f t="shared" si="1"/>
        <v/>
      </c>
    </row>
    <row r="110" spans="54:54" x14ac:dyDescent="0.25">
      <c r="BB110" t="str">
        <f t="shared" si="1"/>
        <v/>
      </c>
    </row>
    <row r="111" spans="54:54" x14ac:dyDescent="0.25">
      <c r="BB111" t="str">
        <f t="shared" si="1"/>
        <v/>
      </c>
    </row>
    <row r="112" spans="54:54" x14ac:dyDescent="0.25">
      <c r="BB112" t="str">
        <f t="shared" si="1"/>
        <v/>
      </c>
    </row>
    <row r="113" spans="54:54" x14ac:dyDescent="0.25">
      <c r="BB113" t="str">
        <f t="shared" si="1"/>
        <v/>
      </c>
    </row>
    <row r="114" spans="54:54" x14ac:dyDescent="0.25">
      <c r="BB114" t="str">
        <f t="shared" si="1"/>
        <v/>
      </c>
    </row>
    <row r="115" spans="54:54" x14ac:dyDescent="0.25">
      <c r="BB115" t="str">
        <f t="shared" si="1"/>
        <v/>
      </c>
    </row>
    <row r="116" spans="54:54" x14ac:dyDescent="0.25">
      <c r="BB116" t="str">
        <f t="shared" si="1"/>
        <v/>
      </c>
    </row>
    <row r="117" spans="54:54" x14ac:dyDescent="0.25">
      <c r="BB117" t="str">
        <f t="shared" si="1"/>
        <v/>
      </c>
    </row>
    <row r="118" spans="54:54" x14ac:dyDescent="0.25">
      <c r="BB118" t="str">
        <f t="shared" si="1"/>
        <v/>
      </c>
    </row>
    <row r="119" spans="54:54" x14ac:dyDescent="0.25">
      <c r="BB119" t="str">
        <f t="shared" si="1"/>
        <v/>
      </c>
    </row>
    <row r="120" spans="54:54" x14ac:dyDescent="0.25">
      <c r="BB120" t="str">
        <f t="shared" si="1"/>
        <v/>
      </c>
    </row>
    <row r="121" spans="54:54" x14ac:dyDescent="0.25">
      <c r="BB121" t="str">
        <f t="shared" si="1"/>
        <v/>
      </c>
    </row>
    <row r="122" spans="54:54" x14ac:dyDescent="0.25">
      <c r="BB122" t="str">
        <f t="shared" si="1"/>
        <v/>
      </c>
    </row>
    <row r="123" spans="54:54" x14ac:dyDescent="0.25">
      <c r="BB123" t="str">
        <f t="shared" si="1"/>
        <v/>
      </c>
    </row>
    <row r="124" spans="54:54" x14ac:dyDescent="0.25">
      <c r="BB124" t="str">
        <f t="shared" si="1"/>
        <v/>
      </c>
    </row>
    <row r="125" spans="54:54" x14ac:dyDescent="0.25">
      <c r="BB125" t="str">
        <f t="shared" si="1"/>
        <v/>
      </c>
    </row>
    <row r="126" spans="54:54" x14ac:dyDescent="0.25">
      <c r="BB126" t="str">
        <f t="shared" si="1"/>
        <v/>
      </c>
    </row>
    <row r="127" spans="54:54" x14ac:dyDescent="0.25">
      <c r="BB127" t="str">
        <f t="shared" si="1"/>
        <v/>
      </c>
    </row>
    <row r="128" spans="54:54" x14ac:dyDescent="0.25">
      <c r="BB128" t="str">
        <f t="shared" si="1"/>
        <v/>
      </c>
    </row>
    <row r="129" spans="54:54" x14ac:dyDescent="0.25">
      <c r="BB129" t="str">
        <f t="shared" si="1"/>
        <v/>
      </c>
    </row>
    <row r="130" spans="54:54" x14ac:dyDescent="0.25">
      <c r="BB130" t="str">
        <f t="shared" si="1"/>
        <v/>
      </c>
    </row>
    <row r="131" spans="54:54" x14ac:dyDescent="0.25">
      <c r="BB131" t="str">
        <f t="shared" si="1"/>
        <v/>
      </c>
    </row>
    <row r="132" spans="54:54" x14ac:dyDescent="0.25">
      <c r="BB132" t="str">
        <f t="shared" si="1"/>
        <v/>
      </c>
    </row>
    <row r="133" spans="54:54" x14ac:dyDescent="0.25">
      <c r="BB133" t="str">
        <f t="shared" ref="BB133:BB196" si="2">IF(B133="","",B133&amp;","&amp;C133)</f>
        <v/>
      </c>
    </row>
    <row r="134" spans="54:54" x14ac:dyDescent="0.25">
      <c r="BB134" t="str">
        <f t="shared" si="2"/>
        <v/>
      </c>
    </row>
    <row r="135" spans="54:54" x14ac:dyDescent="0.25">
      <c r="BB135" t="str">
        <f t="shared" si="2"/>
        <v/>
      </c>
    </row>
    <row r="136" spans="54:54" x14ac:dyDescent="0.25">
      <c r="BB136" t="str">
        <f t="shared" si="2"/>
        <v/>
      </c>
    </row>
    <row r="137" spans="54:54" x14ac:dyDescent="0.25">
      <c r="BB137" t="str">
        <f t="shared" si="2"/>
        <v/>
      </c>
    </row>
    <row r="138" spans="54:54" x14ac:dyDescent="0.25">
      <c r="BB138" t="str">
        <f t="shared" si="2"/>
        <v/>
      </c>
    </row>
    <row r="139" spans="54:54" x14ac:dyDescent="0.25">
      <c r="BB139" t="str">
        <f t="shared" si="2"/>
        <v/>
      </c>
    </row>
    <row r="140" spans="54:54" x14ac:dyDescent="0.25">
      <c r="BB140" t="str">
        <f t="shared" si="2"/>
        <v/>
      </c>
    </row>
    <row r="141" spans="54:54" x14ac:dyDescent="0.25">
      <c r="BB141" t="str">
        <f t="shared" si="2"/>
        <v/>
      </c>
    </row>
    <row r="142" spans="54:54" x14ac:dyDescent="0.25">
      <c r="BB142" t="str">
        <f t="shared" si="2"/>
        <v/>
      </c>
    </row>
    <row r="143" spans="54:54" x14ac:dyDescent="0.25">
      <c r="BB143" t="str">
        <f t="shared" si="2"/>
        <v/>
      </c>
    </row>
    <row r="144" spans="54:54" x14ac:dyDescent="0.25">
      <c r="BB144" t="str">
        <f t="shared" si="2"/>
        <v/>
      </c>
    </row>
    <row r="145" spans="54:54" x14ac:dyDescent="0.25">
      <c r="BB145" t="str">
        <f t="shared" si="2"/>
        <v/>
      </c>
    </row>
    <row r="146" spans="54:54" x14ac:dyDescent="0.25">
      <c r="BB146" t="str">
        <f t="shared" si="2"/>
        <v/>
      </c>
    </row>
    <row r="147" spans="54:54" x14ac:dyDescent="0.25">
      <c r="BB147" t="str">
        <f t="shared" si="2"/>
        <v/>
      </c>
    </row>
    <row r="148" spans="54:54" x14ac:dyDescent="0.25">
      <c r="BB148" t="str">
        <f t="shared" si="2"/>
        <v/>
      </c>
    </row>
    <row r="149" spans="54:54" x14ac:dyDescent="0.25">
      <c r="BB149" t="str">
        <f t="shared" si="2"/>
        <v/>
      </c>
    </row>
    <row r="150" spans="54:54" x14ac:dyDescent="0.25">
      <c r="BB150" t="str">
        <f t="shared" si="2"/>
        <v/>
      </c>
    </row>
    <row r="151" spans="54:54" x14ac:dyDescent="0.25">
      <c r="BB151" t="str">
        <f t="shared" si="2"/>
        <v/>
      </c>
    </row>
    <row r="152" spans="54:54" x14ac:dyDescent="0.25">
      <c r="BB152" t="str">
        <f t="shared" si="2"/>
        <v/>
      </c>
    </row>
    <row r="153" spans="54:54" x14ac:dyDescent="0.25">
      <c r="BB153" t="str">
        <f t="shared" si="2"/>
        <v/>
      </c>
    </row>
    <row r="154" spans="54:54" x14ac:dyDescent="0.25">
      <c r="BB154" t="str">
        <f t="shared" si="2"/>
        <v/>
      </c>
    </row>
    <row r="155" spans="54:54" x14ac:dyDescent="0.25">
      <c r="BB155" t="str">
        <f t="shared" si="2"/>
        <v/>
      </c>
    </row>
    <row r="156" spans="54:54" x14ac:dyDescent="0.25">
      <c r="BB156" t="str">
        <f t="shared" si="2"/>
        <v/>
      </c>
    </row>
    <row r="157" spans="54:54" x14ac:dyDescent="0.25">
      <c r="BB157" t="str">
        <f t="shared" si="2"/>
        <v/>
      </c>
    </row>
    <row r="158" spans="54:54" x14ac:dyDescent="0.25">
      <c r="BB158" t="str">
        <f t="shared" si="2"/>
        <v/>
      </c>
    </row>
    <row r="159" spans="54:54" x14ac:dyDescent="0.25">
      <c r="BB159" t="str">
        <f t="shared" si="2"/>
        <v/>
      </c>
    </row>
    <row r="160" spans="54:54" x14ac:dyDescent="0.25">
      <c r="BB160" t="str">
        <f t="shared" si="2"/>
        <v/>
      </c>
    </row>
    <row r="161" spans="54:54" x14ac:dyDescent="0.25">
      <c r="BB161" t="str">
        <f t="shared" si="2"/>
        <v/>
      </c>
    </row>
    <row r="162" spans="54:54" x14ac:dyDescent="0.25">
      <c r="BB162" t="str">
        <f t="shared" si="2"/>
        <v/>
      </c>
    </row>
    <row r="163" spans="54:54" x14ac:dyDescent="0.25">
      <c r="BB163" t="str">
        <f t="shared" si="2"/>
        <v/>
      </c>
    </row>
    <row r="164" spans="54:54" x14ac:dyDescent="0.25">
      <c r="BB164" t="str">
        <f t="shared" si="2"/>
        <v/>
      </c>
    </row>
    <row r="165" spans="54:54" x14ac:dyDescent="0.25">
      <c r="BB165" t="str">
        <f t="shared" si="2"/>
        <v/>
      </c>
    </row>
    <row r="166" spans="54:54" x14ac:dyDescent="0.25">
      <c r="BB166" t="str">
        <f t="shared" si="2"/>
        <v/>
      </c>
    </row>
    <row r="167" spans="54:54" x14ac:dyDescent="0.25">
      <c r="BB167" t="str">
        <f t="shared" si="2"/>
        <v/>
      </c>
    </row>
    <row r="168" spans="54:54" x14ac:dyDescent="0.25">
      <c r="BB168" t="str">
        <f t="shared" si="2"/>
        <v/>
      </c>
    </row>
    <row r="169" spans="54:54" x14ac:dyDescent="0.25">
      <c r="BB169" t="str">
        <f t="shared" si="2"/>
        <v/>
      </c>
    </row>
    <row r="170" spans="54:54" x14ac:dyDescent="0.25">
      <c r="BB170" t="str">
        <f t="shared" si="2"/>
        <v/>
      </c>
    </row>
    <row r="171" spans="54:54" x14ac:dyDescent="0.25">
      <c r="BB171" t="str">
        <f t="shared" si="2"/>
        <v/>
      </c>
    </row>
    <row r="172" spans="54:54" x14ac:dyDescent="0.25">
      <c r="BB172" t="str">
        <f t="shared" si="2"/>
        <v/>
      </c>
    </row>
    <row r="173" spans="54:54" x14ac:dyDescent="0.25">
      <c r="BB173" t="str">
        <f t="shared" si="2"/>
        <v/>
      </c>
    </row>
    <row r="174" spans="54:54" x14ac:dyDescent="0.25">
      <c r="BB174" t="str">
        <f t="shared" si="2"/>
        <v/>
      </c>
    </row>
    <row r="175" spans="54:54" x14ac:dyDescent="0.25">
      <c r="BB175" t="str">
        <f t="shared" si="2"/>
        <v/>
      </c>
    </row>
    <row r="176" spans="54:54" x14ac:dyDescent="0.25">
      <c r="BB176" t="str">
        <f t="shared" si="2"/>
        <v/>
      </c>
    </row>
    <row r="177" spans="54:54" x14ac:dyDescent="0.25">
      <c r="BB177" t="str">
        <f t="shared" si="2"/>
        <v/>
      </c>
    </row>
    <row r="178" spans="54:54" x14ac:dyDescent="0.25">
      <c r="BB178" t="str">
        <f t="shared" si="2"/>
        <v/>
      </c>
    </row>
    <row r="179" spans="54:54" x14ac:dyDescent="0.25">
      <c r="BB179" t="str">
        <f t="shared" si="2"/>
        <v/>
      </c>
    </row>
    <row r="180" spans="54:54" x14ac:dyDescent="0.25">
      <c r="BB180" t="str">
        <f t="shared" si="2"/>
        <v/>
      </c>
    </row>
    <row r="181" spans="54:54" x14ac:dyDescent="0.25">
      <c r="BB181" t="str">
        <f t="shared" si="2"/>
        <v/>
      </c>
    </row>
    <row r="182" spans="54:54" x14ac:dyDescent="0.25">
      <c r="BB182" t="str">
        <f t="shared" si="2"/>
        <v/>
      </c>
    </row>
    <row r="183" spans="54:54" x14ac:dyDescent="0.25">
      <c r="BB183" t="str">
        <f t="shared" si="2"/>
        <v/>
      </c>
    </row>
    <row r="184" spans="54:54" x14ac:dyDescent="0.25">
      <c r="BB184" t="str">
        <f t="shared" si="2"/>
        <v/>
      </c>
    </row>
    <row r="185" spans="54:54" x14ac:dyDescent="0.25">
      <c r="BB185" t="str">
        <f t="shared" si="2"/>
        <v/>
      </c>
    </row>
    <row r="186" spans="54:54" x14ac:dyDescent="0.25">
      <c r="BB186" t="str">
        <f t="shared" si="2"/>
        <v/>
      </c>
    </row>
    <row r="187" spans="54:54" x14ac:dyDescent="0.25">
      <c r="BB187" t="str">
        <f t="shared" si="2"/>
        <v/>
      </c>
    </row>
    <row r="188" spans="54:54" x14ac:dyDescent="0.25">
      <c r="BB188" t="str">
        <f t="shared" si="2"/>
        <v/>
      </c>
    </row>
    <row r="189" spans="54:54" x14ac:dyDescent="0.25">
      <c r="BB189" t="str">
        <f t="shared" si="2"/>
        <v/>
      </c>
    </row>
    <row r="190" spans="54:54" x14ac:dyDescent="0.25">
      <c r="BB190" t="str">
        <f t="shared" si="2"/>
        <v/>
      </c>
    </row>
    <row r="191" spans="54:54" x14ac:dyDescent="0.25">
      <c r="BB191" t="str">
        <f t="shared" si="2"/>
        <v/>
      </c>
    </row>
    <row r="192" spans="54:54" x14ac:dyDescent="0.25">
      <c r="BB192" t="str">
        <f t="shared" si="2"/>
        <v/>
      </c>
    </row>
    <row r="193" spans="54:54" x14ac:dyDescent="0.25">
      <c r="BB193" t="str">
        <f t="shared" si="2"/>
        <v/>
      </c>
    </row>
    <row r="194" spans="54:54" x14ac:dyDescent="0.25">
      <c r="BB194" t="str">
        <f t="shared" si="2"/>
        <v/>
      </c>
    </row>
    <row r="195" spans="54:54" x14ac:dyDescent="0.25">
      <c r="BB195" t="str">
        <f t="shared" si="2"/>
        <v/>
      </c>
    </row>
    <row r="196" spans="54:54" x14ac:dyDescent="0.25">
      <c r="BB196" t="str">
        <f t="shared" si="2"/>
        <v/>
      </c>
    </row>
    <row r="197" spans="54:54" x14ac:dyDescent="0.25">
      <c r="BB197" t="str">
        <f t="shared" ref="BB197:BB260" si="3">IF(B197="","",B197&amp;","&amp;C197)</f>
        <v/>
      </c>
    </row>
    <row r="198" spans="54:54" x14ac:dyDescent="0.25">
      <c r="BB198" t="str">
        <f t="shared" si="3"/>
        <v/>
      </c>
    </row>
    <row r="199" spans="54:54" x14ac:dyDescent="0.25">
      <c r="BB199" t="str">
        <f t="shared" si="3"/>
        <v/>
      </c>
    </row>
    <row r="200" spans="54:54" x14ac:dyDescent="0.25">
      <c r="BB200" t="str">
        <f t="shared" si="3"/>
        <v/>
      </c>
    </row>
    <row r="201" spans="54:54" x14ac:dyDescent="0.25">
      <c r="BB201" t="str">
        <f t="shared" si="3"/>
        <v/>
      </c>
    </row>
    <row r="202" spans="54:54" x14ac:dyDescent="0.25">
      <c r="BB202" t="str">
        <f t="shared" si="3"/>
        <v/>
      </c>
    </row>
    <row r="203" spans="54:54" x14ac:dyDescent="0.25">
      <c r="BB203" t="str">
        <f t="shared" si="3"/>
        <v/>
      </c>
    </row>
    <row r="204" spans="54:54" x14ac:dyDescent="0.25">
      <c r="BB204" t="str">
        <f t="shared" si="3"/>
        <v/>
      </c>
    </row>
    <row r="205" spans="54:54" x14ac:dyDescent="0.25">
      <c r="BB205" t="str">
        <f t="shared" si="3"/>
        <v/>
      </c>
    </row>
    <row r="206" spans="54:54" x14ac:dyDescent="0.25">
      <c r="BB206" t="str">
        <f t="shared" si="3"/>
        <v/>
      </c>
    </row>
    <row r="207" spans="54:54" x14ac:dyDescent="0.25">
      <c r="BB207" t="str">
        <f t="shared" si="3"/>
        <v/>
      </c>
    </row>
    <row r="208" spans="54:54" x14ac:dyDescent="0.25">
      <c r="BB208" t="str">
        <f t="shared" si="3"/>
        <v/>
      </c>
    </row>
    <row r="209" spans="54:54" x14ac:dyDescent="0.25">
      <c r="BB209" t="str">
        <f t="shared" si="3"/>
        <v/>
      </c>
    </row>
    <row r="210" spans="54:54" x14ac:dyDescent="0.25">
      <c r="BB210" t="str">
        <f t="shared" si="3"/>
        <v/>
      </c>
    </row>
    <row r="211" spans="54:54" x14ac:dyDescent="0.25">
      <c r="BB211" t="str">
        <f t="shared" si="3"/>
        <v/>
      </c>
    </row>
    <row r="212" spans="54:54" x14ac:dyDescent="0.25">
      <c r="BB212" t="str">
        <f t="shared" si="3"/>
        <v/>
      </c>
    </row>
    <row r="213" spans="54:54" x14ac:dyDescent="0.25">
      <c r="BB213" t="str">
        <f t="shared" si="3"/>
        <v/>
      </c>
    </row>
    <row r="214" spans="54:54" x14ac:dyDescent="0.25">
      <c r="BB214" t="str">
        <f t="shared" si="3"/>
        <v/>
      </c>
    </row>
    <row r="215" spans="54:54" x14ac:dyDescent="0.25">
      <c r="BB215" t="str">
        <f t="shared" si="3"/>
        <v/>
      </c>
    </row>
    <row r="216" spans="54:54" x14ac:dyDescent="0.25">
      <c r="BB216" t="str">
        <f t="shared" si="3"/>
        <v/>
      </c>
    </row>
    <row r="217" spans="54:54" x14ac:dyDescent="0.25">
      <c r="BB217" t="str">
        <f t="shared" si="3"/>
        <v/>
      </c>
    </row>
    <row r="218" spans="54:54" x14ac:dyDescent="0.25">
      <c r="BB218" t="str">
        <f t="shared" si="3"/>
        <v/>
      </c>
    </row>
    <row r="219" spans="54:54" x14ac:dyDescent="0.25">
      <c r="BB219" t="str">
        <f t="shared" si="3"/>
        <v/>
      </c>
    </row>
    <row r="220" spans="54:54" x14ac:dyDescent="0.25">
      <c r="BB220" t="str">
        <f t="shared" si="3"/>
        <v/>
      </c>
    </row>
    <row r="221" spans="54:54" x14ac:dyDescent="0.25">
      <c r="BB221" t="str">
        <f t="shared" si="3"/>
        <v/>
      </c>
    </row>
    <row r="222" spans="54:54" x14ac:dyDescent="0.25">
      <c r="BB222" t="str">
        <f t="shared" si="3"/>
        <v/>
      </c>
    </row>
    <row r="223" spans="54:54" x14ac:dyDescent="0.25">
      <c r="BB223" t="str">
        <f t="shared" si="3"/>
        <v/>
      </c>
    </row>
    <row r="224" spans="54:54" x14ac:dyDescent="0.25">
      <c r="BB224" t="str">
        <f t="shared" si="3"/>
        <v/>
      </c>
    </row>
    <row r="225" spans="54:54" x14ac:dyDescent="0.25">
      <c r="BB225" t="str">
        <f t="shared" si="3"/>
        <v/>
      </c>
    </row>
    <row r="226" spans="54:54" x14ac:dyDescent="0.25">
      <c r="BB226" t="str">
        <f t="shared" si="3"/>
        <v/>
      </c>
    </row>
    <row r="227" spans="54:54" x14ac:dyDescent="0.25">
      <c r="BB227" t="str">
        <f t="shared" si="3"/>
        <v/>
      </c>
    </row>
    <row r="228" spans="54:54" x14ac:dyDescent="0.25">
      <c r="BB228" t="str">
        <f t="shared" si="3"/>
        <v/>
      </c>
    </row>
    <row r="229" spans="54:54" x14ac:dyDescent="0.25">
      <c r="BB229" t="str">
        <f t="shared" si="3"/>
        <v/>
      </c>
    </row>
    <row r="230" spans="54:54" x14ac:dyDescent="0.25">
      <c r="BB230" t="str">
        <f t="shared" si="3"/>
        <v/>
      </c>
    </row>
    <row r="231" spans="54:54" x14ac:dyDescent="0.25">
      <c r="BB231" t="str">
        <f t="shared" si="3"/>
        <v/>
      </c>
    </row>
    <row r="232" spans="54:54" x14ac:dyDescent="0.25">
      <c r="BB232" t="str">
        <f t="shared" si="3"/>
        <v/>
      </c>
    </row>
    <row r="233" spans="54:54" x14ac:dyDescent="0.25">
      <c r="BB233" t="str">
        <f t="shared" si="3"/>
        <v/>
      </c>
    </row>
    <row r="234" spans="54:54" x14ac:dyDescent="0.25">
      <c r="BB234" t="str">
        <f t="shared" si="3"/>
        <v/>
      </c>
    </row>
    <row r="235" spans="54:54" x14ac:dyDescent="0.25">
      <c r="BB235" t="str">
        <f t="shared" si="3"/>
        <v/>
      </c>
    </row>
    <row r="236" spans="54:54" x14ac:dyDescent="0.25">
      <c r="BB236" t="str">
        <f t="shared" si="3"/>
        <v/>
      </c>
    </row>
    <row r="237" spans="54:54" x14ac:dyDescent="0.25">
      <c r="BB237" t="str">
        <f t="shared" si="3"/>
        <v/>
      </c>
    </row>
    <row r="238" spans="54:54" x14ac:dyDescent="0.25">
      <c r="BB238" t="str">
        <f t="shared" si="3"/>
        <v/>
      </c>
    </row>
    <row r="239" spans="54:54" x14ac:dyDescent="0.25">
      <c r="BB239" t="str">
        <f t="shared" si="3"/>
        <v/>
      </c>
    </row>
    <row r="240" spans="54:54" x14ac:dyDescent="0.25">
      <c r="BB240" t="str">
        <f t="shared" si="3"/>
        <v/>
      </c>
    </row>
    <row r="241" spans="54:54" x14ac:dyDescent="0.25">
      <c r="BB241" t="str">
        <f t="shared" si="3"/>
        <v/>
      </c>
    </row>
    <row r="242" spans="54:54" x14ac:dyDescent="0.25">
      <c r="BB242" t="str">
        <f t="shared" si="3"/>
        <v/>
      </c>
    </row>
    <row r="243" spans="54:54" x14ac:dyDescent="0.25">
      <c r="BB243" t="str">
        <f t="shared" si="3"/>
        <v/>
      </c>
    </row>
    <row r="244" spans="54:54" x14ac:dyDescent="0.25">
      <c r="BB244" t="str">
        <f t="shared" si="3"/>
        <v/>
      </c>
    </row>
    <row r="245" spans="54:54" x14ac:dyDescent="0.25">
      <c r="BB245" t="str">
        <f t="shared" si="3"/>
        <v/>
      </c>
    </row>
    <row r="246" spans="54:54" x14ac:dyDescent="0.25">
      <c r="BB246" t="str">
        <f t="shared" si="3"/>
        <v/>
      </c>
    </row>
    <row r="247" spans="54:54" x14ac:dyDescent="0.25">
      <c r="BB247" t="str">
        <f t="shared" si="3"/>
        <v/>
      </c>
    </row>
    <row r="248" spans="54:54" x14ac:dyDescent="0.25">
      <c r="BB248" t="str">
        <f t="shared" si="3"/>
        <v/>
      </c>
    </row>
    <row r="249" spans="54:54" x14ac:dyDescent="0.25">
      <c r="BB249" t="str">
        <f t="shared" si="3"/>
        <v/>
      </c>
    </row>
    <row r="250" spans="54:54" x14ac:dyDescent="0.25">
      <c r="BB250" t="str">
        <f t="shared" si="3"/>
        <v/>
      </c>
    </row>
    <row r="251" spans="54:54" x14ac:dyDescent="0.25">
      <c r="BB251" t="str">
        <f t="shared" si="3"/>
        <v/>
      </c>
    </row>
    <row r="252" spans="54:54" x14ac:dyDescent="0.25">
      <c r="BB252" t="str">
        <f t="shared" si="3"/>
        <v/>
      </c>
    </row>
    <row r="253" spans="54:54" x14ac:dyDescent="0.25">
      <c r="BB253" t="str">
        <f t="shared" si="3"/>
        <v/>
      </c>
    </row>
    <row r="254" spans="54:54" x14ac:dyDescent="0.25">
      <c r="BB254" t="str">
        <f t="shared" si="3"/>
        <v/>
      </c>
    </row>
    <row r="255" spans="54:54" x14ac:dyDescent="0.25">
      <c r="BB255" t="str">
        <f t="shared" si="3"/>
        <v/>
      </c>
    </row>
    <row r="256" spans="54:54" x14ac:dyDescent="0.25">
      <c r="BB256" t="str">
        <f t="shared" si="3"/>
        <v/>
      </c>
    </row>
    <row r="257" spans="54:54" x14ac:dyDescent="0.25">
      <c r="BB257" t="str">
        <f t="shared" si="3"/>
        <v/>
      </c>
    </row>
    <row r="258" spans="54:54" x14ac:dyDescent="0.25">
      <c r="BB258" t="str">
        <f t="shared" si="3"/>
        <v/>
      </c>
    </row>
    <row r="259" spans="54:54" x14ac:dyDescent="0.25">
      <c r="BB259" t="str">
        <f t="shared" si="3"/>
        <v/>
      </c>
    </row>
    <row r="260" spans="54:54" x14ac:dyDescent="0.25">
      <c r="BB260" t="str">
        <f t="shared" si="3"/>
        <v/>
      </c>
    </row>
    <row r="261" spans="54:54" x14ac:dyDescent="0.25">
      <c r="BB261" t="str">
        <f t="shared" ref="BB261:BB324" si="4">IF(B261="","",B261&amp;","&amp;C261)</f>
        <v/>
      </c>
    </row>
    <row r="262" spans="54:54" x14ac:dyDescent="0.25">
      <c r="BB262" t="str">
        <f t="shared" si="4"/>
        <v/>
      </c>
    </row>
    <row r="263" spans="54:54" x14ac:dyDescent="0.25">
      <c r="BB263" t="str">
        <f t="shared" si="4"/>
        <v/>
      </c>
    </row>
    <row r="264" spans="54:54" x14ac:dyDescent="0.25">
      <c r="BB264" t="str">
        <f t="shared" si="4"/>
        <v/>
      </c>
    </row>
    <row r="265" spans="54:54" x14ac:dyDescent="0.25">
      <c r="BB265" t="str">
        <f t="shared" si="4"/>
        <v/>
      </c>
    </row>
    <row r="266" spans="54:54" x14ac:dyDescent="0.25">
      <c r="BB266" t="str">
        <f t="shared" si="4"/>
        <v/>
      </c>
    </row>
    <row r="267" spans="54:54" x14ac:dyDescent="0.25">
      <c r="BB267" t="str">
        <f t="shared" si="4"/>
        <v/>
      </c>
    </row>
    <row r="268" spans="54:54" x14ac:dyDescent="0.25">
      <c r="BB268" t="str">
        <f t="shared" si="4"/>
        <v/>
      </c>
    </row>
    <row r="269" spans="54:54" x14ac:dyDescent="0.25">
      <c r="BB269" t="str">
        <f t="shared" si="4"/>
        <v/>
      </c>
    </row>
    <row r="270" spans="54:54" x14ac:dyDescent="0.25">
      <c r="BB270" t="str">
        <f t="shared" si="4"/>
        <v/>
      </c>
    </row>
    <row r="271" spans="54:54" x14ac:dyDescent="0.25">
      <c r="BB271" t="str">
        <f t="shared" si="4"/>
        <v/>
      </c>
    </row>
    <row r="272" spans="54:54" x14ac:dyDescent="0.25">
      <c r="BB272" t="str">
        <f t="shared" si="4"/>
        <v/>
      </c>
    </row>
    <row r="273" spans="54:54" x14ac:dyDescent="0.25">
      <c r="BB273" t="str">
        <f t="shared" si="4"/>
        <v/>
      </c>
    </row>
    <row r="274" spans="54:54" x14ac:dyDescent="0.25">
      <c r="BB274" t="str">
        <f t="shared" si="4"/>
        <v/>
      </c>
    </row>
    <row r="275" spans="54:54" x14ac:dyDescent="0.25">
      <c r="BB275" t="str">
        <f t="shared" si="4"/>
        <v/>
      </c>
    </row>
    <row r="276" spans="54:54" x14ac:dyDescent="0.25">
      <c r="BB276" t="str">
        <f t="shared" si="4"/>
        <v/>
      </c>
    </row>
    <row r="277" spans="54:54" x14ac:dyDescent="0.25">
      <c r="BB277" t="str">
        <f t="shared" si="4"/>
        <v/>
      </c>
    </row>
    <row r="278" spans="54:54" x14ac:dyDescent="0.25">
      <c r="BB278" t="str">
        <f t="shared" si="4"/>
        <v/>
      </c>
    </row>
    <row r="279" spans="54:54" x14ac:dyDescent="0.25">
      <c r="BB279" t="str">
        <f t="shared" si="4"/>
        <v/>
      </c>
    </row>
    <row r="280" spans="54:54" x14ac:dyDescent="0.25">
      <c r="BB280" t="str">
        <f t="shared" si="4"/>
        <v/>
      </c>
    </row>
    <row r="281" spans="54:54" x14ac:dyDescent="0.25">
      <c r="BB281" t="str">
        <f t="shared" si="4"/>
        <v/>
      </c>
    </row>
    <row r="282" spans="54:54" x14ac:dyDescent="0.25">
      <c r="BB282" t="str">
        <f t="shared" si="4"/>
        <v/>
      </c>
    </row>
    <row r="283" spans="54:54" x14ac:dyDescent="0.25">
      <c r="BB283" t="str">
        <f t="shared" si="4"/>
        <v/>
      </c>
    </row>
    <row r="284" spans="54:54" x14ac:dyDescent="0.25">
      <c r="BB284" t="str">
        <f t="shared" si="4"/>
        <v/>
      </c>
    </row>
    <row r="285" spans="54:54" x14ac:dyDescent="0.25">
      <c r="BB285" t="str">
        <f t="shared" si="4"/>
        <v/>
      </c>
    </row>
    <row r="286" spans="54:54" x14ac:dyDescent="0.25">
      <c r="BB286" t="str">
        <f t="shared" si="4"/>
        <v/>
      </c>
    </row>
    <row r="287" spans="54:54" x14ac:dyDescent="0.25">
      <c r="BB287" t="str">
        <f t="shared" si="4"/>
        <v/>
      </c>
    </row>
    <row r="288" spans="54:54" x14ac:dyDescent="0.25">
      <c r="BB288" t="str">
        <f t="shared" si="4"/>
        <v/>
      </c>
    </row>
    <row r="289" spans="54:54" x14ac:dyDescent="0.25">
      <c r="BB289" t="str">
        <f t="shared" si="4"/>
        <v/>
      </c>
    </row>
    <row r="290" spans="54:54" x14ac:dyDescent="0.25">
      <c r="BB290" t="str">
        <f t="shared" si="4"/>
        <v/>
      </c>
    </row>
    <row r="291" spans="54:54" x14ac:dyDescent="0.25">
      <c r="BB291" t="str">
        <f t="shared" si="4"/>
        <v/>
      </c>
    </row>
    <row r="292" spans="54:54" x14ac:dyDescent="0.25">
      <c r="BB292" t="str">
        <f t="shared" si="4"/>
        <v/>
      </c>
    </row>
    <row r="293" spans="54:54" x14ac:dyDescent="0.25">
      <c r="BB293" t="str">
        <f t="shared" si="4"/>
        <v/>
      </c>
    </row>
    <row r="294" spans="54:54" x14ac:dyDescent="0.25">
      <c r="BB294" t="str">
        <f t="shared" si="4"/>
        <v/>
      </c>
    </row>
    <row r="295" spans="54:54" x14ac:dyDescent="0.25">
      <c r="BB295" t="str">
        <f t="shared" si="4"/>
        <v/>
      </c>
    </row>
    <row r="296" spans="54:54" x14ac:dyDescent="0.25">
      <c r="BB296" t="str">
        <f t="shared" si="4"/>
        <v/>
      </c>
    </row>
    <row r="297" spans="54:54" x14ac:dyDescent="0.25">
      <c r="BB297" t="str">
        <f t="shared" si="4"/>
        <v/>
      </c>
    </row>
    <row r="298" spans="54:54" x14ac:dyDescent="0.25">
      <c r="BB298" t="str">
        <f t="shared" si="4"/>
        <v/>
      </c>
    </row>
    <row r="299" spans="54:54" x14ac:dyDescent="0.25">
      <c r="BB299" t="str">
        <f t="shared" si="4"/>
        <v/>
      </c>
    </row>
    <row r="300" spans="54:54" x14ac:dyDescent="0.25">
      <c r="BB300" t="str">
        <f t="shared" si="4"/>
        <v/>
      </c>
    </row>
    <row r="301" spans="54:54" x14ac:dyDescent="0.25">
      <c r="BB301" t="str">
        <f t="shared" si="4"/>
        <v/>
      </c>
    </row>
    <row r="302" spans="54:54" x14ac:dyDescent="0.25">
      <c r="BB302" t="str">
        <f t="shared" si="4"/>
        <v/>
      </c>
    </row>
    <row r="303" spans="54:54" x14ac:dyDescent="0.25">
      <c r="BB303" t="str">
        <f t="shared" si="4"/>
        <v/>
      </c>
    </row>
    <row r="304" spans="54:54" x14ac:dyDescent="0.25">
      <c r="BB304" t="str">
        <f t="shared" si="4"/>
        <v/>
      </c>
    </row>
    <row r="305" spans="54:54" x14ac:dyDescent="0.25">
      <c r="BB305" t="str">
        <f t="shared" si="4"/>
        <v/>
      </c>
    </row>
    <row r="306" spans="54:54" x14ac:dyDescent="0.25">
      <c r="BB306" t="str">
        <f t="shared" si="4"/>
        <v/>
      </c>
    </row>
    <row r="307" spans="54:54" x14ac:dyDescent="0.25">
      <c r="BB307" t="str">
        <f t="shared" si="4"/>
        <v/>
      </c>
    </row>
    <row r="308" spans="54:54" x14ac:dyDescent="0.25">
      <c r="BB308" t="str">
        <f t="shared" si="4"/>
        <v/>
      </c>
    </row>
    <row r="309" spans="54:54" x14ac:dyDescent="0.25">
      <c r="BB309" t="str">
        <f t="shared" si="4"/>
        <v/>
      </c>
    </row>
    <row r="310" spans="54:54" x14ac:dyDescent="0.25">
      <c r="BB310" t="str">
        <f t="shared" si="4"/>
        <v/>
      </c>
    </row>
    <row r="311" spans="54:54" x14ac:dyDescent="0.25">
      <c r="BB311" t="str">
        <f t="shared" si="4"/>
        <v/>
      </c>
    </row>
    <row r="312" spans="54:54" x14ac:dyDescent="0.25">
      <c r="BB312" t="str">
        <f t="shared" si="4"/>
        <v/>
      </c>
    </row>
    <row r="313" spans="54:54" x14ac:dyDescent="0.25">
      <c r="BB313" t="str">
        <f t="shared" si="4"/>
        <v/>
      </c>
    </row>
    <row r="314" spans="54:54" x14ac:dyDescent="0.25">
      <c r="BB314" t="str">
        <f t="shared" si="4"/>
        <v/>
      </c>
    </row>
    <row r="315" spans="54:54" x14ac:dyDescent="0.25">
      <c r="BB315" t="str">
        <f t="shared" si="4"/>
        <v/>
      </c>
    </row>
    <row r="316" spans="54:54" x14ac:dyDescent="0.25">
      <c r="BB316" t="str">
        <f t="shared" si="4"/>
        <v/>
      </c>
    </row>
    <row r="317" spans="54:54" x14ac:dyDescent="0.25">
      <c r="BB317" t="str">
        <f t="shared" si="4"/>
        <v/>
      </c>
    </row>
    <row r="318" spans="54:54" x14ac:dyDescent="0.25">
      <c r="BB318" t="str">
        <f t="shared" si="4"/>
        <v/>
      </c>
    </row>
    <row r="319" spans="54:54" x14ac:dyDescent="0.25">
      <c r="BB319" t="str">
        <f t="shared" si="4"/>
        <v/>
      </c>
    </row>
    <row r="320" spans="54:54" x14ac:dyDescent="0.25">
      <c r="BB320" t="str">
        <f t="shared" si="4"/>
        <v/>
      </c>
    </row>
    <row r="321" spans="54:54" x14ac:dyDescent="0.25">
      <c r="BB321" t="str">
        <f t="shared" si="4"/>
        <v/>
      </c>
    </row>
    <row r="322" spans="54:54" x14ac:dyDescent="0.25">
      <c r="BB322" t="str">
        <f t="shared" si="4"/>
        <v/>
      </c>
    </row>
    <row r="323" spans="54:54" x14ac:dyDescent="0.25">
      <c r="BB323" t="str">
        <f t="shared" si="4"/>
        <v/>
      </c>
    </row>
    <row r="324" spans="54:54" x14ac:dyDescent="0.25">
      <c r="BB324" t="str">
        <f t="shared" si="4"/>
        <v/>
      </c>
    </row>
    <row r="325" spans="54:54" x14ac:dyDescent="0.25">
      <c r="BB325" t="str">
        <f t="shared" ref="BB325:BB388" si="5">IF(B325="","",B325&amp;","&amp;C325)</f>
        <v/>
      </c>
    </row>
    <row r="326" spans="54:54" x14ac:dyDescent="0.25">
      <c r="BB326" t="str">
        <f t="shared" si="5"/>
        <v/>
      </c>
    </row>
    <row r="327" spans="54:54" x14ac:dyDescent="0.25">
      <c r="BB327" t="str">
        <f t="shared" si="5"/>
        <v/>
      </c>
    </row>
    <row r="328" spans="54:54" x14ac:dyDescent="0.25">
      <c r="BB328" t="str">
        <f t="shared" si="5"/>
        <v/>
      </c>
    </row>
    <row r="329" spans="54:54" x14ac:dyDescent="0.25">
      <c r="BB329" t="str">
        <f t="shared" si="5"/>
        <v/>
      </c>
    </row>
    <row r="330" spans="54:54" x14ac:dyDescent="0.25">
      <c r="BB330" t="str">
        <f t="shared" si="5"/>
        <v/>
      </c>
    </row>
    <row r="331" spans="54:54" x14ac:dyDescent="0.25">
      <c r="BB331" t="str">
        <f t="shared" si="5"/>
        <v/>
      </c>
    </row>
    <row r="332" spans="54:54" x14ac:dyDescent="0.25">
      <c r="BB332" t="str">
        <f t="shared" si="5"/>
        <v/>
      </c>
    </row>
    <row r="333" spans="54:54" x14ac:dyDescent="0.25">
      <c r="BB333" t="str">
        <f t="shared" si="5"/>
        <v/>
      </c>
    </row>
    <row r="334" spans="54:54" x14ac:dyDescent="0.25">
      <c r="BB334" t="str">
        <f t="shared" si="5"/>
        <v/>
      </c>
    </row>
    <row r="335" spans="54:54" x14ac:dyDescent="0.25">
      <c r="BB335" t="str">
        <f t="shared" si="5"/>
        <v/>
      </c>
    </row>
    <row r="336" spans="54:54" x14ac:dyDescent="0.25">
      <c r="BB336" t="str">
        <f t="shared" si="5"/>
        <v/>
      </c>
    </row>
    <row r="337" spans="54:54" x14ac:dyDescent="0.25">
      <c r="BB337" t="str">
        <f t="shared" si="5"/>
        <v/>
      </c>
    </row>
    <row r="338" spans="54:54" x14ac:dyDescent="0.25">
      <c r="BB338" t="str">
        <f t="shared" si="5"/>
        <v/>
      </c>
    </row>
    <row r="339" spans="54:54" x14ac:dyDescent="0.25">
      <c r="BB339" t="str">
        <f t="shared" si="5"/>
        <v/>
      </c>
    </row>
    <row r="340" spans="54:54" x14ac:dyDescent="0.25">
      <c r="BB340" t="str">
        <f t="shared" si="5"/>
        <v/>
      </c>
    </row>
    <row r="341" spans="54:54" x14ac:dyDescent="0.25">
      <c r="BB341" t="str">
        <f t="shared" si="5"/>
        <v/>
      </c>
    </row>
    <row r="342" spans="54:54" x14ac:dyDescent="0.25">
      <c r="BB342" t="str">
        <f t="shared" si="5"/>
        <v/>
      </c>
    </row>
    <row r="343" spans="54:54" x14ac:dyDescent="0.25">
      <c r="BB343" t="str">
        <f t="shared" si="5"/>
        <v/>
      </c>
    </row>
    <row r="344" spans="54:54" x14ac:dyDescent="0.25">
      <c r="BB344" t="str">
        <f t="shared" si="5"/>
        <v/>
      </c>
    </row>
    <row r="345" spans="54:54" x14ac:dyDescent="0.25">
      <c r="BB345" t="str">
        <f t="shared" si="5"/>
        <v/>
      </c>
    </row>
    <row r="346" spans="54:54" x14ac:dyDescent="0.25">
      <c r="BB346" t="str">
        <f t="shared" si="5"/>
        <v/>
      </c>
    </row>
    <row r="347" spans="54:54" x14ac:dyDescent="0.25">
      <c r="BB347" t="str">
        <f t="shared" si="5"/>
        <v/>
      </c>
    </row>
    <row r="348" spans="54:54" x14ac:dyDescent="0.25">
      <c r="BB348" t="str">
        <f t="shared" si="5"/>
        <v/>
      </c>
    </row>
    <row r="349" spans="54:54" x14ac:dyDescent="0.25">
      <c r="BB349" t="str">
        <f t="shared" si="5"/>
        <v/>
      </c>
    </row>
    <row r="350" spans="54:54" x14ac:dyDescent="0.25">
      <c r="BB350" t="str">
        <f t="shared" si="5"/>
        <v/>
      </c>
    </row>
    <row r="351" spans="54:54" x14ac:dyDescent="0.25">
      <c r="BB351" t="str">
        <f t="shared" si="5"/>
        <v/>
      </c>
    </row>
    <row r="352" spans="54:54" x14ac:dyDescent="0.25">
      <c r="BB352" t="str">
        <f t="shared" si="5"/>
        <v/>
      </c>
    </row>
    <row r="353" spans="54:54" x14ac:dyDescent="0.25">
      <c r="BB353" t="str">
        <f t="shared" si="5"/>
        <v/>
      </c>
    </row>
    <row r="354" spans="54:54" x14ac:dyDescent="0.25">
      <c r="BB354" t="str">
        <f t="shared" si="5"/>
        <v/>
      </c>
    </row>
    <row r="355" spans="54:54" x14ac:dyDescent="0.25">
      <c r="BB355" t="str">
        <f t="shared" si="5"/>
        <v/>
      </c>
    </row>
    <row r="356" spans="54:54" x14ac:dyDescent="0.25">
      <c r="BB356" t="str">
        <f t="shared" si="5"/>
        <v/>
      </c>
    </row>
    <row r="357" spans="54:54" x14ac:dyDescent="0.25">
      <c r="BB357" t="str">
        <f t="shared" si="5"/>
        <v/>
      </c>
    </row>
    <row r="358" spans="54:54" x14ac:dyDescent="0.25">
      <c r="BB358" t="str">
        <f t="shared" si="5"/>
        <v/>
      </c>
    </row>
    <row r="359" spans="54:54" x14ac:dyDescent="0.25">
      <c r="BB359" t="str">
        <f t="shared" si="5"/>
        <v/>
      </c>
    </row>
    <row r="360" spans="54:54" x14ac:dyDescent="0.25">
      <c r="BB360" t="str">
        <f t="shared" si="5"/>
        <v/>
      </c>
    </row>
    <row r="361" spans="54:54" x14ac:dyDescent="0.25">
      <c r="BB361" t="str">
        <f t="shared" si="5"/>
        <v/>
      </c>
    </row>
    <row r="362" spans="54:54" x14ac:dyDescent="0.25">
      <c r="BB362" t="str">
        <f t="shared" si="5"/>
        <v/>
      </c>
    </row>
    <row r="363" spans="54:54" x14ac:dyDescent="0.25">
      <c r="BB363" t="str">
        <f t="shared" si="5"/>
        <v/>
      </c>
    </row>
    <row r="364" spans="54:54" x14ac:dyDescent="0.25">
      <c r="BB364" t="str">
        <f t="shared" si="5"/>
        <v/>
      </c>
    </row>
    <row r="365" spans="54:54" x14ac:dyDescent="0.25">
      <c r="BB365" t="str">
        <f t="shared" si="5"/>
        <v/>
      </c>
    </row>
    <row r="366" spans="54:54" x14ac:dyDescent="0.25">
      <c r="BB366" t="str">
        <f t="shared" si="5"/>
        <v/>
      </c>
    </row>
    <row r="367" spans="54:54" x14ac:dyDescent="0.25">
      <c r="BB367" t="str">
        <f t="shared" si="5"/>
        <v/>
      </c>
    </row>
    <row r="368" spans="54:54" x14ac:dyDescent="0.25">
      <c r="BB368" t="str">
        <f t="shared" si="5"/>
        <v/>
      </c>
    </row>
    <row r="369" spans="54:54" x14ac:dyDescent="0.25">
      <c r="BB369" t="str">
        <f t="shared" si="5"/>
        <v/>
      </c>
    </row>
    <row r="370" spans="54:54" x14ac:dyDescent="0.25">
      <c r="BB370" t="str">
        <f t="shared" si="5"/>
        <v/>
      </c>
    </row>
    <row r="371" spans="54:54" x14ac:dyDescent="0.25">
      <c r="BB371" t="str">
        <f t="shared" si="5"/>
        <v/>
      </c>
    </row>
    <row r="372" spans="54:54" x14ac:dyDescent="0.25">
      <c r="BB372" t="str">
        <f t="shared" si="5"/>
        <v/>
      </c>
    </row>
    <row r="373" spans="54:54" x14ac:dyDescent="0.25">
      <c r="BB373" t="str">
        <f t="shared" si="5"/>
        <v/>
      </c>
    </row>
    <row r="374" spans="54:54" x14ac:dyDescent="0.25">
      <c r="BB374" t="str">
        <f t="shared" si="5"/>
        <v/>
      </c>
    </row>
    <row r="375" spans="54:54" x14ac:dyDescent="0.25">
      <c r="BB375" t="str">
        <f t="shared" si="5"/>
        <v/>
      </c>
    </row>
    <row r="376" spans="54:54" x14ac:dyDescent="0.25">
      <c r="BB376" t="str">
        <f t="shared" si="5"/>
        <v/>
      </c>
    </row>
    <row r="377" spans="54:54" x14ac:dyDescent="0.25">
      <c r="BB377" t="str">
        <f t="shared" si="5"/>
        <v/>
      </c>
    </row>
    <row r="378" spans="54:54" x14ac:dyDescent="0.25">
      <c r="BB378" t="str">
        <f t="shared" si="5"/>
        <v/>
      </c>
    </row>
    <row r="379" spans="54:54" x14ac:dyDescent="0.25">
      <c r="BB379" t="str">
        <f t="shared" si="5"/>
        <v/>
      </c>
    </row>
    <row r="380" spans="54:54" x14ac:dyDescent="0.25">
      <c r="BB380" t="str">
        <f t="shared" si="5"/>
        <v/>
      </c>
    </row>
    <row r="381" spans="54:54" x14ac:dyDescent="0.25">
      <c r="BB381" t="str">
        <f t="shared" si="5"/>
        <v/>
      </c>
    </row>
    <row r="382" spans="54:54" x14ac:dyDescent="0.25">
      <c r="BB382" t="str">
        <f t="shared" si="5"/>
        <v/>
      </c>
    </row>
    <row r="383" spans="54:54" x14ac:dyDescent="0.25">
      <c r="BB383" t="str">
        <f t="shared" si="5"/>
        <v/>
      </c>
    </row>
    <row r="384" spans="54:54" x14ac:dyDescent="0.25">
      <c r="BB384" t="str">
        <f t="shared" si="5"/>
        <v/>
      </c>
    </row>
    <row r="385" spans="54:54" x14ac:dyDescent="0.25">
      <c r="BB385" t="str">
        <f t="shared" si="5"/>
        <v/>
      </c>
    </row>
    <row r="386" spans="54:54" x14ac:dyDescent="0.25">
      <c r="BB386" t="str">
        <f t="shared" si="5"/>
        <v/>
      </c>
    </row>
    <row r="387" spans="54:54" x14ac:dyDescent="0.25">
      <c r="BB387" t="str">
        <f t="shared" si="5"/>
        <v/>
      </c>
    </row>
    <row r="388" spans="54:54" x14ac:dyDescent="0.25">
      <c r="BB388" t="str">
        <f t="shared" si="5"/>
        <v/>
      </c>
    </row>
    <row r="389" spans="54:54" x14ac:dyDescent="0.25">
      <c r="BB389" t="str">
        <f t="shared" ref="BB389:BB452" si="6">IF(B389="","",B389&amp;","&amp;C389)</f>
        <v/>
      </c>
    </row>
    <row r="390" spans="54:54" x14ac:dyDescent="0.25">
      <c r="BB390" t="str">
        <f t="shared" si="6"/>
        <v/>
      </c>
    </row>
    <row r="391" spans="54:54" x14ac:dyDescent="0.25">
      <c r="BB391" t="str">
        <f t="shared" si="6"/>
        <v/>
      </c>
    </row>
    <row r="392" spans="54:54" x14ac:dyDescent="0.25">
      <c r="BB392" t="str">
        <f t="shared" si="6"/>
        <v/>
      </c>
    </row>
    <row r="393" spans="54:54" x14ac:dyDescent="0.25">
      <c r="BB393" t="str">
        <f t="shared" si="6"/>
        <v/>
      </c>
    </row>
    <row r="394" spans="54:54" x14ac:dyDescent="0.25">
      <c r="BB394" t="str">
        <f t="shared" si="6"/>
        <v/>
      </c>
    </row>
    <row r="395" spans="54:54" x14ac:dyDescent="0.25">
      <c r="BB395" t="str">
        <f t="shared" si="6"/>
        <v/>
      </c>
    </row>
    <row r="396" spans="54:54" x14ac:dyDescent="0.25">
      <c r="BB396" t="str">
        <f t="shared" si="6"/>
        <v/>
      </c>
    </row>
    <row r="397" spans="54:54" x14ac:dyDescent="0.25">
      <c r="BB397" t="str">
        <f t="shared" si="6"/>
        <v/>
      </c>
    </row>
    <row r="398" spans="54:54" x14ac:dyDescent="0.25">
      <c r="BB398" t="str">
        <f t="shared" si="6"/>
        <v/>
      </c>
    </row>
    <row r="399" spans="54:54" x14ac:dyDescent="0.25">
      <c r="BB399" t="str">
        <f t="shared" si="6"/>
        <v/>
      </c>
    </row>
    <row r="400" spans="54:54" x14ac:dyDescent="0.25">
      <c r="BB400" t="str">
        <f t="shared" si="6"/>
        <v/>
      </c>
    </row>
    <row r="401" spans="54:54" x14ac:dyDescent="0.25">
      <c r="BB401" t="str">
        <f t="shared" si="6"/>
        <v/>
      </c>
    </row>
    <row r="402" spans="54:54" x14ac:dyDescent="0.25">
      <c r="BB402" t="str">
        <f t="shared" si="6"/>
        <v/>
      </c>
    </row>
    <row r="403" spans="54:54" x14ac:dyDescent="0.25">
      <c r="BB403" t="str">
        <f t="shared" si="6"/>
        <v/>
      </c>
    </row>
    <row r="404" spans="54:54" x14ac:dyDescent="0.25">
      <c r="BB404" t="str">
        <f t="shared" si="6"/>
        <v/>
      </c>
    </row>
    <row r="405" spans="54:54" x14ac:dyDescent="0.25">
      <c r="BB405" t="str">
        <f t="shared" si="6"/>
        <v/>
      </c>
    </row>
    <row r="406" spans="54:54" x14ac:dyDescent="0.25">
      <c r="BB406" t="str">
        <f t="shared" si="6"/>
        <v/>
      </c>
    </row>
    <row r="407" spans="54:54" x14ac:dyDescent="0.25">
      <c r="BB407" t="str">
        <f t="shared" si="6"/>
        <v/>
      </c>
    </row>
    <row r="408" spans="54:54" x14ac:dyDescent="0.25">
      <c r="BB408" t="str">
        <f t="shared" si="6"/>
        <v/>
      </c>
    </row>
    <row r="409" spans="54:54" x14ac:dyDescent="0.25">
      <c r="BB409" t="str">
        <f t="shared" si="6"/>
        <v/>
      </c>
    </row>
    <row r="410" spans="54:54" x14ac:dyDescent="0.25">
      <c r="BB410" t="str">
        <f t="shared" si="6"/>
        <v/>
      </c>
    </row>
    <row r="411" spans="54:54" x14ac:dyDescent="0.25">
      <c r="BB411" t="str">
        <f t="shared" si="6"/>
        <v/>
      </c>
    </row>
    <row r="412" spans="54:54" x14ac:dyDescent="0.25">
      <c r="BB412" t="str">
        <f t="shared" si="6"/>
        <v/>
      </c>
    </row>
    <row r="413" spans="54:54" x14ac:dyDescent="0.25">
      <c r="BB413" t="str">
        <f t="shared" si="6"/>
        <v/>
      </c>
    </row>
    <row r="414" spans="54:54" x14ac:dyDescent="0.25">
      <c r="BB414" t="str">
        <f t="shared" si="6"/>
        <v/>
      </c>
    </row>
    <row r="415" spans="54:54" x14ac:dyDescent="0.25">
      <c r="BB415" t="str">
        <f t="shared" si="6"/>
        <v/>
      </c>
    </row>
    <row r="416" spans="54:54" x14ac:dyDescent="0.25">
      <c r="BB416" t="str">
        <f t="shared" si="6"/>
        <v/>
      </c>
    </row>
    <row r="417" spans="54:54" x14ac:dyDescent="0.25">
      <c r="BB417" t="str">
        <f t="shared" si="6"/>
        <v/>
      </c>
    </row>
    <row r="418" spans="54:54" x14ac:dyDescent="0.25">
      <c r="BB418" t="str">
        <f t="shared" si="6"/>
        <v/>
      </c>
    </row>
    <row r="419" spans="54:54" x14ac:dyDescent="0.25">
      <c r="BB419" t="str">
        <f t="shared" si="6"/>
        <v/>
      </c>
    </row>
    <row r="420" spans="54:54" x14ac:dyDescent="0.25">
      <c r="BB420" t="str">
        <f t="shared" si="6"/>
        <v/>
      </c>
    </row>
    <row r="421" spans="54:54" x14ac:dyDescent="0.25">
      <c r="BB421" t="str">
        <f t="shared" si="6"/>
        <v/>
      </c>
    </row>
    <row r="422" spans="54:54" x14ac:dyDescent="0.25">
      <c r="BB422" t="str">
        <f t="shared" si="6"/>
        <v/>
      </c>
    </row>
    <row r="423" spans="54:54" x14ac:dyDescent="0.25">
      <c r="BB423" t="str">
        <f t="shared" si="6"/>
        <v/>
      </c>
    </row>
    <row r="424" spans="54:54" x14ac:dyDescent="0.25">
      <c r="BB424" t="str">
        <f t="shared" si="6"/>
        <v/>
      </c>
    </row>
    <row r="425" spans="54:54" x14ac:dyDescent="0.25">
      <c r="BB425" t="str">
        <f t="shared" si="6"/>
        <v/>
      </c>
    </row>
    <row r="426" spans="54:54" x14ac:dyDescent="0.25">
      <c r="BB426" t="str">
        <f t="shared" si="6"/>
        <v/>
      </c>
    </row>
    <row r="427" spans="54:54" x14ac:dyDescent="0.25">
      <c r="BB427" t="str">
        <f t="shared" si="6"/>
        <v/>
      </c>
    </row>
    <row r="428" spans="54:54" x14ac:dyDescent="0.25">
      <c r="BB428" t="str">
        <f t="shared" si="6"/>
        <v/>
      </c>
    </row>
    <row r="429" spans="54:54" x14ac:dyDescent="0.25">
      <c r="BB429" t="str">
        <f t="shared" si="6"/>
        <v/>
      </c>
    </row>
    <row r="430" spans="54:54" x14ac:dyDescent="0.25">
      <c r="BB430" t="str">
        <f t="shared" si="6"/>
        <v/>
      </c>
    </row>
    <row r="431" spans="54:54" x14ac:dyDescent="0.25">
      <c r="BB431" t="str">
        <f t="shared" si="6"/>
        <v/>
      </c>
    </row>
    <row r="432" spans="54:54" x14ac:dyDescent="0.25">
      <c r="BB432" t="str">
        <f t="shared" si="6"/>
        <v/>
      </c>
    </row>
    <row r="433" spans="54:54" x14ac:dyDescent="0.25">
      <c r="BB433" t="str">
        <f t="shared" si="6"/>
        <v/>
      </c>
    </row>
    <row r="434" spans="54:54" x14ac:dyDescent="0.25">
      <c r="BB434" t="str">
        <f t="shared" si="6"/>
        <v/>
      </c>
    </row>
    <row r="435" spans="54:54" x14ac:dyDescent="0.25">
      <c r="BB435" t="str">
        <f t="shared" si="6"/>
        <v/>
      </c>
    </row>
    <row r="436" spans="54:54" x14ac:dyDescent="0.25">
      <c r="BB436" t="str">
        <f t="shared" si="6"/>
        <v/>
      </c>
    </row>
    <row r="437" spans="54:54" x14ac:dyDescent="0.25">
      <c r="BB437" t="str">
        <f t="shared" si="6"/>
        <v/>
      </c>
    </row>
    <row r="438" spans="54:54" x14ac:dyDescent="0.25">
      <c r="BB438" t="str">
        <f t="shared" si="6"/>
        <v/>
      </c>
    </row>
    <row r="439" spans="54:54" x14ac:dyDescent="0.25">
      <c r="BB439" t="str">
        <f t="shared" si="6"/>
        <v/>
      </c>
    </row>
    <row r="440" spans="54:54" x14ac:dyDescent="0.25">
      <c r="BB440" t="str">
        <f t="shared" si="6"/>
        <v/>
      </c>
    </row>
    <row r="441" spans="54:54" x14ac:dyDescent="0.25">
      <c r="BB441" t="str">
        <f t="shared" si="6"/>
        <v/>
      </c>
    </row>
    <row r="442" spans="54:54" x14ac:dyDescent="0.25">
      <c r="BB442" t="str">
        <f t="shared" si="6"/>
        <v/>
      </c>
    </row>
    <row r="443" spans="54:54" x14ac:dyDescent="0.25">
      <c r="BB443" t="str">
        <f t="shared" si="6"/>
        <v/>
      </c>
    </row>
    <row r="444" spans="54:54" x14ac:dyDescent="0.25">
      <c r="BB444" t="str">
        <f t="shared" si="6"/>
        <v/>
      </c>
    </row>
    <row r="445" spans="54:54" x14ac:dyDescent="0.25">
      <c r="BB445" t="str">
        <f t="shared" si="6"/>
        <v/>
      </c>
    </row>
    <row r="446" spans="54:54" x14ac:dyDescent="0.25">
      <c r="BB446" t="str">
        <f t="shared" si="6"/>
        <v/>
      </c>
    </row>
    <row r="447" spans="54:54" x14ac:dyDescent="0.25">
      <c r="BB447" t="str">
        <f t="shared" si="6"/>
        <v/>
      </c>
    </row>
    <row r="448" spans="54:54" x14ac:dyDescent="0.25">
      <c r="BB448" t="str">
        <f t="shared" si="6"/>
        <v/>
      </c>
    </row>
    <row r="449" spans="54:54" x14ac:dyDescent="0.25">
      <c r="BB449" t="str">
        <f t="shared" si="6"/>
        <v/>
      </c>
    </row>
    <row r="450" spans="54:54" x14ac:dyDescent="0.25">
      <c r="BB450" t="str">
        <f t="shared" si="6"/>
        <v/>
      </c>
    </row>
    <row r="451" spans="54:54" x14ac:dyDescent="0.25">
      <c r="BB451" t="str">
        <f t="shared" si="6"/>
        <v/>
      </c>
    </row>
    <row r="452" spans="54:54" x14ac:dyDescent="0.25">
      <c r="BB452" t="str">
        <f t="shared" si="6"/>
        <v/>
      </c>
    </row>
    <row r="453" spans="54:54" x14ac:dyDescent="0.25">
      <c r="BB453" t="str">
        <f t="shared" ref="BB453:BB516" si="7">IF(B453="","",B453&amp;","&amp;C453)</f>
        <v/>
      </c>
    </row>
    <row r="454" spans="54:54" x14ac:dyDescent="0.25">
      <c r="BB454" t="str">
        <f t="shared" si="7"/>
        <v/>
      </c>
    </row>
    <row r="455" spans="54:54" x14ac:dyDescent="0.25">
      <c r="BB455" t="str">
        <f t="shared" si="7"/>
        <v/>
      </c>
    </row>
    <row r="456" spans="54:54" x14ac:dyDescent="0.25">
      <c r="BB456" t="str">
        <f t="shared" si="7"/>
        <v/>
      </c>
    </row>
    <row r="457" spans="54:54" x14ac:dyDescent="0.25">
      <c r="BB457" t="str">
        <f t="shared" si="7"/>
        <v/>
      </c>
    </row>
    <row r="458" spans="54:54" x14ac:dyDescent="0.25">
      <c r="BB458" t="str">
        <f t="shared" si="7"/>
        <v/>
      </c>
    </row>
    <row r="459" spans="54:54" x14ac:dyDescent="0.25">
      <c r="BB459" t="str">
        <f t="shared" si="7"/>
        <v/>
      </c>
    </row>
    <row r="460" spans="54:54" x14ac:dyDescent="0.25">
      <c r="BB460" t="str">
        <f t="shared" si="7"/>
        <v/>
      </c>
    </row>
    <row r="461" spans="54:54" x14ac:dyDescent="0.25">
      <c r="BB461" t="str">
        <f t="shared" si="7"/>
        <v/>
      </c>
    </row>
    <row r="462" spans="54:54" x14ac:dyDescent="0.25">
      <c r="BB462" t="str">
        <f t="shared" si="7"/>
        <v/>
      </c>
    </row>
    <row r="463" spans="54:54" x14ac:dyDescent="0.25">
      <c r="BB463" t="str">
        <f t="shared" si="7"/>
        <v/>
      </c>
    </row>
    <row r="464" spans="54:54" x14ac:dyDescent="0.25">
      <c r="BB464" t="str">
        <f t="shared" si="7"/>
        <v/>
      </c>
    </row>
    <row r="465" spans="54:54" x14ac:dyDescent="0.25">
      <c r="BB465" t="str">
        <f t="shared" si="7"/>
        <v/>
      </c>
    </row>
    <row r="466" spans="54:54" x14ac:dyDescent="0.25">
      <c r="BB466" t="str">
        <f t="shared" si="7"/>
        <v/>
      </c>
    </row>
    <row r="467" spans="54:54" x14ac:dyDescent="0.25">
      <c r="BB467" t="str">
        <f t="shared" si="7"/>
        <v/>
      </c>
    </row>
    <row r="468" spans="54:54" x14ac:dyDescent="0.25">
      <c r="BB468" t="str">
        <f t="shared" si="7"/>
        <v/>
      </c>
    </row>
    <row r="469" spans="54:54" x14ac:dyDescent="0.25">
      <c r="BB469" t="str">
        <f t="shared" si="7"/>
        <v/>
      </c>
    </row>
    <row r="470" spans="54:54" x14ac:dyDescent="0.25">
      <c r="BB470" t="str">
        <f t="shared" si="7"/>
        <v/>
      </c>
    </row>
    <row r="471" spans="54:54" x14ac:dyDescent="0.25">
      <c r="BB471" t="str">
        <f t="shared" si="7"/>
        <v/>
      </c>
    </row>
    <row r="472" spans="54:54" x14ac:dyDescent="0.25">
      <c r="BB472" t="str">
        <f t="shared" si="7"/>
        <v/>
      </c>
    </row>
    <row r="473" spans="54:54" x14ac:dyDescent="0.25">
      <c r="BB473" t="str">
        <f t="shared" si="7"/>
        <v/>
      </c>
    </row>
    <row r="474" spans="54:54" x14ac:dyDescent="0.25">
      <c r="BB474" t="str">
        <f t="shared" si="7"/>
        <v/>
      </c>
    </row>
    <row r="475" spans="54:54" x14ac:dyDescent="0.25">
      <c r="BB475" t="str">
        <f t="shared" si="7"/>
        <v/>
      </c>
    </row>
    <row r="476" spans="54:54" x14ac:dyDescent="0.25">
      <c r="BB476" t="str">
        <f t="shared" si="7"/>
        <v/>
      </c>
    </row>
    <row r="477" spans="54:54" x14ac:dyDescent="0.25">
      <c r="BB477" t="str">
        <f t="shared" si="7"/>
        <v/>
      </c>
    </row>
    <row r="478" spans="54:54" x14ac:dyDescent="0.25">
      <c r="BB478" t="str">
        <f t="shared" si="7"/>
        <v/>
      </c>
    </row>
    <row r="479" spans="54:54" x14ac:dyDescent="0.25">
      <c r="BB479" t="str">
        <f t="shared" si="7"/>
        <v/>
      </c>
    </row>
    <row r="480" spans="54:54" x14ac:dyDescent="0.25">
      <c r="BB480" t="str">
        <f t="shared" si="7"/>
        <v/>
      </c>
    </row>
    <row r="481" spans="54:54" x14ac:dyDescent="0.25">
      <c r="BB481" t="str">
        <f t="shared" si="7"/>
        <v/>
      </c>
    </row>
    <row r="482" spans="54:54" x14ac:dyDescent="0.25">
      <c r="BB482" t="str">
        <f t="shared" si="7"/>
        <v/>
      </c>
    </row>
    <row r="483" spans="54:54" x14ac:dyDescent="0.25">
      <c r="BB483" t="str">
        <f t="shared" si="7"/>
        <v/>
      </c>
    </row>
    <row r="484" spans="54:54" x14ac:dyDescent="0.25">
      <c r="BB484" t="str">
        <f t="shared" si="7"/>
        <v/>
      </c>
    </row>
    <row r="485" spans="54:54" x14ac:dyDescent="0.25">
      <c r="BB485" t="str">
        <f t="shared" si="7"/>
        <v/>
      </c>
    </row>
    <row r="486" spans="54:54" x14ac:dyDescent="0.25">
      <c r="BB486" t="str">
        <f t="shared" si="7"/>
        <v/>
      </c>
    </row>
    <row r="487" spans="54:54" x14ac:dyDescent="0.25">
      <c r="BB487" t="str">
        <f t="shared" si="7"/>
        <v/>
      </c>
    </row>
    <row r="488" spans="54:54" x14ac:dyDescent="0.25">
      <c r="BB488" t="str">
        <f t="shared" si="7"/>
        <v/>
      </c>
    </row>
    <row r="489" spans="54:54" x14ac:dyDescent="0.25">
      <c r="BB489" t="str">
        <f t="shared" si="7"/>
        <v/>
      </c>
    </row>
    <row r="490" spans="54:54" x14ac:dyDescent="0.25">
      <c r="BB490" t="str">
        <f t="shared" si="7"/>
        <v/>
      </c>
    </row>
    <row r="491" spans="54:54" x14ac:dyDescent="0.25">
      <c r="BB491" t="str">
        <f t="shared" si="7"/>
        <v/>
      </c>
    </row>
    <row r="492" spans="54:54" x14ac:dyDescent="0.25">
      <c r="BB492" t="str">
        <f t="shared" si="7"/>
        <v/>
      </c>
    </row>
    <row r="493" spans="54:54" x14ac:dyDescent="0.25">
      <c r="BB493" t="str">
        <f t="shared" si="7"/>
        <v/>
      </c>
    </row>
    <row r="494" spans="54:54" x14ac:dyDescent="0.25">
      <c r="BB494" t="str">
        <f t="shared" si="7"/>
        <v/>
      </c>
    </row>
    <row r="495" spans="54:54" x14ac:dyDescent="0.25">
      <c r="BB495" t="str">
        <f t="shared" si="7"/>
        <v/>
      </c>
    </row>
    <row r="496" spans="54:54" x14ac:dyDescent="0.25">
      <c r="BB496" t="str">
        <f t="shared" si="7"/>
        <v/>
      </c>
    </row>
    <row r="497" spans="54:54" x14ac:dyDescent="0.25">
      <c r="BB497" t="str">
        <f t="shared" si="7"/>
        <v/>
      </c>
    </row>
    <row r="498" spans="54:54" x14ac:dyDescent="0.25">
      <c r="BB498" t="str">
        <f t="shared" si="7"/>
        <v/>
      </c>
    </row>
    <row r="499" spans="54:54" x14ac:dyDescent="0.25">
      <c r="BB499" t="str">
        <f t="shared" si="7"/>
        <v/>
      </c>
    </row>
    <row r="500" spans="54:54" x14ac:dyDescent="0.25">
      <c r="BB500" t="str">
        <f t="shared" si="7"/>
        <v/>
      </c>
    </row>
    <row r="501" spans="54:54" x14ac:dyDescent="0.25">
      <c r="BB501" t="str">
        <f t="shared" si="7"/>
        <v/>
      </c>
    </row>
    <row r="502" spans="54:54" x14ac:dyDescent="0.25">
      <c r="BB502" t="str">
        <f t="shared" si="7"/>
        <v/>
      </c>
    </row>
    <row r="503" spans="54:54" x14ac:dyDescent="0.25">
      <c r="BB503" t="str">
        <f t="shared" si="7"/>
        <v/>
      </c>
    </row>
    <row r="504" spans="54:54" x14ac:dyDescent="0.25">
      <c r="BB504" t="str">
        <f t="shared" si="7"/>
        <v/>
      </c>
    </row>
    <row r="505" spans="54:54" x14ac:dyDescent="0.25">
      <c r="BB505" t="str">
        <f t="shared" si="7"/>
        <v/>
      </c>
    </row>
    <row r="506" spans="54:54" x14ac:dyDescent="0.25">
      <c r="BB506" t="str">
        <f t="shared" si="7"/>
        <v/>
      </c>
    </row>
    <row r="507" spans="54:54" x14ac:dyDescent="0.25">
      <c r="BB507" t="str">
        <f t="shared" si="7"/>
        <v/>
      </c>
    </row>
    <row r="508" spans="54:54" x14ac:dyDescent="0.25">
      <c r="BB508" t="str">
        <f t="shared" si="7"/>
        <v/>
      </c>
    </row>
    <row r="509" spans="54:54" x14ac:dyDescent="0.25">
      <c r="BB509" t="str">
        <f t="shared" si="7"/>
        <v/>
      </c>
    </row>
    <row r="510" spans="54:54" x14ac:dyDescent="0.25">
      <c r="BB510" t="str">
        <f t="shared" si="7"/>
        <v/>
      </c>
    </row>
    <row r="511" spans="54:54" x14ac:dyDescent="0.25">
      <c r="BB511" t="str">
        <f t="shared" si="7"/>
        <v/>
      </c>
    </row>
    <row r="512" spans="54:54" x14ac:dyDescent="0.25">
      <c r="BB512" t="str">
        <f t="shared" si="7"/>
        <v/>
      </c>
    </row>
    <row r="513" spans="54:54" x14ac:dyDescent="0.25">
      <c r="BB513" t="str">
        <f t="shared" si="7"/>
        <v/>
      </c>
    </row>
    <row r="514" spans="54:54" x14ac:dyDescent="0.25">
      <c r="BB514" t="str">
        <f t="shared" si="7"/>
        <v/>
      </c>
    </row>
    <row r="515" spans="54:54" x14ac:dyDescent="0.25">
      <c r="BB515" t="str">
        <f t="shared" si="7"/>
        <v/>
      </c>
    </row>
    <row r="516" spans="54:54" x14ac:dyDescent="0.25">
      <c r="BB516" t="str">
        <f t="shared" si="7"/>
        <v/>
      </c>
    </row>
    <row r="517" spans="54:54" x14ac:dyDescent="0.25">
      <c r="BB517" t="str">
        <f t="shared" ref="BB517:BB567" si="8">IF(B517="","",B517&amp;","&amp;C517)</f>
        <v/>
      </c>
    </row>
    <row r="518" spans="54:54" x14ac:dyDescent="0.25">
      <c r="BB518" t="str">
        <f t="shared" si="8"/>
        <v/>
      </c>
    </row>
    <row r="519" spans="54:54" x14ac:dyDescent="0.25">
      <c r="BB519" t="str">
        <f t="shared" si="8"/>
        <v/>
      </c>
    </row>
    <row r="520" spans="54:54" x14ac:dyDescent="0.25">
      <c r="BB520" t="str">
        <f t="shared" si="8"/>
        <v/>
      </c>
    </row>
    <row r="521" spans="54:54" x14ac:dyDescent="0.25">
      <c r="BB521" t="str">
        <f t="shared" si="8"/>
        <v/>
      </c>
    </row>
    <row r="522" spans="54:54" x14ac:dyDescent="0.25">
      <c r="BB522" t="str">
        <f t="shared" si="8"/>
        <v/>
      </c>
    </row>
    <row r="523" spans="54:54" x14ac:dyDescent="0.25">
      <c r="BB523" t="str">
        <f t="shared" si="8"/>
        <v/>
      </c>
    </row>
    <row r="524" spans="54:54" x14ac:dyDescent="0.25">
      <c r="BB524" t="str">
        <f t="shared" si="8"/>
        <v/>
      </c>
    </row>
    <row r="525" spans="54:54" x14ac:dyDescent="0.25">
      <c r="BB525" t="str">
        <f t="shared" si="8"/>
        <v/>
      </c>
    </row>
    <row r="526" spans="54:54" x14ac:dyDescent="0.25">
      <c r="BB526" t="str">
        <f t="shared" si="8"/>
        <v/>
      </c>
    </row>
    <row r="527" spans="54:54" x14ac:dyDescent="0.25">
      <c r="BB527" t="str">
        <f t="shared" si="8"/>
        <v/>
      </c>
    </row>
    <row r="528" spans="54:54" x14ac:dyDescent="0.25">
      <c r="BB528" t="str">
        <f t="shared" si="8"/>
        <v/>
      </c>
    </row>
    <row r="529" spans="54:54" x14ac:dyDescent="0.25">
      <c r="BB529" t="str">
        <f t="shared" si="8"/>
        <v/>
      </c>
    </row>
    <row r="530" spans="54:54" x14ac:dyDescent="0.25">
      <c r="BB530" t="str">
        <f t="shared" si="8"/>
        <v/>
      </c>
    </row>
    <row r="531" spans="54:54" x14ac:dyDescent="0.25">
      <c r="BB531" t="str">
        <f t="shared" si="8"/>
        <v/>
      </c>
    </row>
    <row r="532" spans="54:54" x14ac:dyDescent="0.25">
      <c r="BB532" t="str">
        <f t="shared" si="8"/>
        <v/>
      </c>
    </row>
    <row r="533" spans="54:54" x14ac:dyDescent="0.25">
      <c r="BB533" t="str">
        <f t="shared" si="8"/>
        <v/>
      </c>
    </row>
    <row r="534" spans="54:54" x14ac:dyDescent="0.25">
      <c r="BB534" t="str">
        <f t="shared" si="8"/>
        <v/>
      </c>
    </row>
    <row r="535" spans="54:54" x14ac:dyDescent="0.25">
      <c r="BB535" t="str">
        <f t="shared" si="8"/>
        <v/>
      </c>
    </row>
    <row r="536" spans="54:54" x14ac:dyDescent="0.25">
      <c r="BB536" t="str">
        <f t="shared" si="8"/>
        <v/>
      </c>
    </row>
    <row r="537" spans="54:54" x14ac:dyDescent="0.25">
      <c r="BB537" t="str">
        <f t="shared" si="8"/>
        <v/>
      </c>
    </row>
    <row r="538" spans="54:54" x14ac:dyDescent="0.25">
      <c r="BB538" t="str">
        <f t="shared" si="8"/>
        <v/>
      </c>
    </row>
    <row r="539" spans="54:54" x14ac:dyDescent="0.25">
      <c r="BB539" t="str">
        <f t="shared" si="8"/>
        <v/>
      </c>
    </row>
    <row r="540" spans="54:54" x14ac:dyDescent="0.25">
      <c r="BB540" t="str">
        <f t="shared" si="8"/>
        <v/>
      </c>
    </row>
    <row r="541" spans="54:54" x14ac:dyDescent="0.25">
      <c r="BB541" t="str">
        <f t="shared" si="8"/>
        <v/>
      </c>
    </row>
    <row r="542" spans="54:54" x14ac:dyDescent="0.25">
      <c r="BB542" t="str">
        <f t="shared" si="8"/>
        <v/>
      </c>
    </row>
    <row r="543" spans="54:54" x14ac:dyDescent="0.25">
      <c r="BB543" t="str">
        <f t="shared" si="8"/>
        <v/>
      </c>
    </row>
    <row r="544" spans="54:54" x14ac:dyDescent="0.25">
      <c r="BB544" t="str">
        <f t="shared" si="8"/>
        <v/>
      </c>
    </row>
    <row r="545" spans="54:54" x14ac:dyDescent="0.25">
      <c r="BB545" t="str">
        <f t="shared" si="8"/>
        <v/>
      </c>
    </row>
    <row r="546" spans="54:54" x14ac:dyDescent="0.25">
      <c r="BB546" t="str">
        <f t="shared" si="8"/>
        <v/>
      </c>
    </row>
    <row r="547" spans="54:54" x14ac:dyDescent="0.25">
      <c r="BB547" t="str">
        <f t="shared" si="8"/>
        <v/>
      </c>
    </row>
    <row r="548" spans="54:54" x14ac:dyDescent="0.25">
      <c r="BB548" t="str">
        <f t="shared" si="8"/>
        <v/>
      </c>
    </row>
    <row r="549" spans="54:54" x14ac:dyDescent="0.25">
      <c r="BB549" t="str">
        <f t="shared" si="8"/>
        <v/>
      </c>
    </row>
    <row r="550" spans="54:54" x14ac:dyDescent="0.25">
      <c r="BB550" t="str">
        <f t="shared" si="8"/>
        <v/>
      </c>
    </row>
    <row r="551" spans="54:54" x14ac:dyDescent="0.25">
      <c r="BB551" t="str">
        <f t="shared" si="8"/>
        <v/>
      </c>
    </row>
    <row r="552" spans="54:54" x14ac:dyDescent="0.25">
      <c r="BB552" t="str">
        <f t="shared" si="8"/>
        <v/>
      </c>
    </row>
    <row r="553" spans="54:54" x14ac:dyDescent="0.25">
      <c r="BB553" t="str">
        <f t="shared" si="8"/>
        <v/>
      </c>
    </row>
    <row r="554" spans="54:54" x14ac:dyDescent="0.25">
      <c r="BB554" t="str">
        <f t="shared" si="8"/>
        <v/>
      </c>
    </row>
    <row r="555" spans="54:54" x14ac:dyDescent="0.25">
      <c r="BB555" t="str">
        <f t="shared" si="8"/>
        <v/>
      </c>
    </row>
    <row r="556" spans="54:54" x14ac:dyDescent="0.25">
      <c r="BB556" t="str">
        <f t="shared" si="8"/>
        <v/>
      </c>
    </row>
    <row r="557" spans="54:54" x14ac:dyDescent="0.25">
      <c r="BB557" t="str">
        <f t="shared" si="8"/>
        <v/>
      </c>
    </row>
    <row r="558" spans="54:54" x14ac:dyDescent="0.25">
      <c r="BB558" t="str">
        <f t="shared" si="8"/>
        <v/>
      </c>
    </row>
    <row r="559" spans="54:54" x14ac:dyDescent="0.25">
      <c r="BB559" t="str">
        <f t="shared" si="8"/>
        <v/>
      </c>
    </row>
    <row r="560" spans="54:54" x14ac:dyDescent="0.25">
      <c r="BB560" t="str">
        <f t="shared" si="8"/>
        <v/>
      </c>
    </row>
    <row r="561" spans="54:54" x14ac:dyDescent="0.25">
      <c r="BB561" t="str">
        <f t="shared" si="8"/>
        <v/>
      </c>
    </row>
    <row r="562" spans="54:54" x14ac:dyDescent="0.25">
      <c r="BB562" t="str">
        <f t="shared" si="8"/>
        <v/>
      </c>
    </row>
    <row r="563" spans="54:54" x14ac:dyDescent="0.25">
      <c r="BB563" t="str">
        <f t="shared" si="8"/>
        <v/>
      </c>
    </row>
    <row r="564" spans="54:54" x14ac:dyDescent="0.25">
      <c r="BB564" t="str">
        <f t="shared" si="8"/>
        <v/>
      </c>
    </row>
    <row r="565" spans="54:54" x14ac:dyDescent="0.25">
      <c r="BB565" t="str">
        <f t="shared" si="8"/>
        <v/>
      </c>
    </row>
    <row r="566" spans="54:54" x14ac:dyDescent="0.25">
      <c r="BB566" t="str">
        <f t="shared" si="8"/>
        <v/>
      </c>
    </row>
    <row r="567" spans="54:54" x14ac:dyDescent="0.25">
      <c r="BB567" t="str">
        <f t="shared" si="8"/>
        <v/>
      </c>
    </row>
  </sheetData>
  <mergeCells count="1">
    <mergeCell ref="A2:AB2"/>
  </mergeCells>
  <hyperlinks>
    <hyperlink ref="M5" r:id="rId1"/>
    <hyperlink ref="M6" r:id="rId2"/>
    <hyperlink ref="M4" r:id="rId3"/>
    <hyperlink ref="M7" r:id="rId4"/>
    <hyperlink ref="M8" r:id="rId5"/>
    <hyperlink ref="M9" r:id="rId6"/>
    <hyperlink ref="M10" r:id="rId7"/>
    <hyperlink ref="M12" r:id="rId8"/>
    <hyperlink ref="M13" r:id="rId9"/>
    <hyperlink ref="M11" r:id="rId10"/>
    <hyperlink ref="M14" r:id="rId11"/>
    <hyperlink ref="M16" r:id="rId12"/>
    <hyperlink ref="M27" r:id="rId13"/>
    <hyperlink ref="M17" r:id="rId14"/>
    <hyperlink ref="M28" r:id="rId15"/>
    <hyperlink ref="M15" r:id="rId16"/>
    <hyperlink ref="M26" r:id="rId17"/>
    <hyperlink ref="M18" r:id="rId18"/>
    <hyperlink ref="M29" r:id="rId19"/>
    <hyperlink ref="M19" r:id="rId20"/>
    <hyperlink ref="M30" r:id="rId21"/>
    <hyperlink ref="M20" r:id="rId22"/>
    <hyperlink ref="M31" r:id="rId23"/>
    <hyperlink ref="M21" r:id="rId24"/>
    <hyperlink ref="M32" r:id="rId25"/>
    <hyperlink ref="M23" r:id="rId26"/>
    <hyperlink ref="M34" r:id="rId27" display="gggg@yahoomail.com"/>
    <hyperlink ref="M24" r:id="rId28"/>
    <hyperlink ref="M22" r:id="rId29"/>
    <hyperlink ref="M33" r:id="rId30" display="skkk@gmail.com"/>
    <hyperlink ref="M25" r:id="rId3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Employee Mgr</vt:lpstr>
      <vt:lpstr>Employee List</vt:lpstr>
      <vt:lpstr>Times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2018-11-28T09:55:12Z</dcterms:created>
  <dcterms:modified xsi:type="dcterms:W3CDTF">2018-12-01T13:43:18Z</dcterms:modified>
</cp:coreProperties>
</file>